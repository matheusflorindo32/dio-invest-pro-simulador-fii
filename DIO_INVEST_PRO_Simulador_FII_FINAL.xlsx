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ENGINE" sheetId="3" state="visible" r:id="rId3"/>
    <sheet xmlns:r="http://schemas.openxmlformats.org/officeDocument/2006/relationships" name="DASH" sheetId="4" state="visible" r:id="rId4"/>
  </sheets>
  <definedNames>
    <definedName name="Salary">APP!$C$10</definedName>
    <definedName name="InvestPct">APP!$C$11</definedName>
    <definedName name="Profile">APP!$C$13</definedName>
    <definedName name="Reinvest">APP!$C$14</definedName>
    <definedName name="Initial">APP!$C$17</definedName>
    <definedName name="Monthly">APP!$C$18</definedName>
    <definedName name="Horizon">APP!$C$19</definedName>
    <definedName name="Yield_m">APP!$C$20</definedName>
    <definedName name="Growth_m">APP!$C$21</definedName>
    <definedName name="Inflation_a">APP!$C$22</definedName>
    <definedName name="DeltaYield">BASE!$F$4</definedName>
    <definedName name="DeltaGrowth">BASE!$F$5</definedName>
    <definedName name="Discount_m">BASE!$F$6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13">
    <font>
      <name val="Calibri"/>
      <family val="2"/>
      <color theme="1"/>
      <sz val="11"/>
      <scheme val="minor"/>
    </font>
    <font>
      <name val="Segoe UI"/>
      <b val="1"/>
      <color rgb="00FFFFFF"/>
      <sz val="20"/>
    </font>
    <font>
      <name val="Segoe UI"/>
      <color rgb="002C2C2C"/>
      <sz val="10"/>
    </font>
    <font>
      <name val="Segoe UI"/>
      <b val="1"/>
      <color rgb="00FFFFFF"/>
      <sz val="12"/>
    </font>
    <font>
      <name val="Segoe UI"/>
      <b val="1"/>
      <color rgb="001F4E79"/>
      <sz val="10"/>
    </font>
    <font>
      <name val="Segoe UI"/>
      <b val="1"/>
      <color rgb="00000000"/>
      <sz val="10"/>
    </font>
    <font>
      <name val="Segoe UI"/>
      <b val="1"/>
      <color rgb="00000000"/>
      <sz val="11"/>
    </font>
    <font>
      <name val="Segoe UI"/>
      <b val="1"/>
      <color rgb="00FFFFFF"/>
      <sz val="10"/>
    </font>
    <font>
      <name val="Segoe UI"/>
      <b val="1"/>
      <color rgb="002C2C2C"/>
      <sz val="10"/>
    </font>
    <font>
      <name val="Segoe UI"/>
      <b val="1"/>
      <color rgb="00FFFFFF"/>
    </font>
    <font>
      <name val="Segoe UI"/>
      <color rgb="00000000"/>
      <sz val="10"/>
    </font>
    <font>
      <name val="Segoe UI"/>
      <b val="1"/>
      <color rgb="002C2C2C"/>
    </font>
    <font>
      <name val="Segoe UI"/>
      <b val="1"/>
      <color rgb="00000000"/>
    </font>
  </fonts>
  <fills count="9">
    <fill>
      <patternFill/>
    </fill>
    <fill>
      <patternFill patternType="gray125"/>
    </fill>
    <fill>
      <patternFill patternType="solid">
        <fgColor rgb="000B3D2E"/>
      </patternFill>
    </fill>
    <fill>
      <patternFill patternType="solid">
        <fgColor rgb="00F2F4F7"/>
      </patternFill>
    </fill>
    <fill>
      <patternFill patternType="solid">
        <fgColor rgb="00FFFFFF"/>
      </patternFill>
    </fill>
    <fill>
      <patternFill patternType="solid">
        <fgColor rgb="00EAF2FF"/>
      </patternFill>
    </fill>
    <fill>
      <patternFill patternType="solid">
        <fgColor rgb="00DFF3EA"/>
      </patternFill>
    </fill>
    <fill>
      <patternFill patternType="solid">
        <fgColor rgb="001E7F5C"/>
      </patternFill>
    </fill>
    <fill>
      <patternFill patternType="solid">
        <fgColor rgb="002C2C2C"/>
      </patternFill>
    </fill>
  </fills>
  <borders count="10">
    <border>
      <left/>
      <right/>
      <top/>
      <bottom/>
      <diagonal/>
    </border>
    <border>
      <left style="medium">
        <color rgb="000B3D2E"/>
      </left>
      <right style="medium">
        <color rgb="000B3D2E"/>
      </right>
      <top style="medium">
        <color rgb="000B3D2E"/>
      </top>
      <bottom style="medium">
        <color rgb="000B3D2E"/>
      </bottom>
    </border>
    <border>
      <left style="thin">
        <color rgb="009AA4AF"/>
      </left>
      <right style="thin">
        <color rgb="009AA4AF"/>
      </right>
      <top style="thin">
        <color rgb="009AA4AF"/>
      </top>
      <bottom style="thin">
        <color rgb="009AA4AF"/>
      </bottom>
    </border>
    <border>
      <left/>
      <right/>
      <top style="medium">
        <color rgb="000B3D2E"/>
      </top>
      <bottom/>
      <diagonal/>
    </border>
    <border>
      <left/>
      <right style="medium">
        <color rgb="000B3D2E"/>
      </right>
      <top style="medium">
        <color rgb="000B3D2E"/>
      </top>
      <bottom/>
      <diagonal/>
    </border>
    <border>
      <left/>
      <right/>
      <top style="medium">
        <color rgb="000B3D2E"/>
      </top>
      <bottom style="medium">
        <color rgb="000B3D2E"/>
      </bottom>
      <diagonal/>
    </border>
    <border>
      <left/>
      <right style="medium">
        <color rgb="000B3D2E"/>
      </right>
      <top style="medium">
        <color rgb="000B3D2E"/>
      </top>
      <bottom style="medium">
        <color rgb="000B3D2E"/>
      </bottom>
      <diagonal/>
    </border>
    <border>
      <left/>
      <right/>
      <top style="thin">
        <color rgb="009AA4AF"/>
      </top>
      <bottom/>
      <diagonal/>
    </border>
    <border>
      <left/>
      <right style="thin">
        <color rgb="009AA4AF"/>
      </right>
      <top style="thin">
        <color rgb="009AA4AF"/>
      </top>
      <bottom/>
      <diagonal/>
    </border>
    <border>
      <left/>
      <right style="thin">
        <color rgb="009AA4AF"/>
      </right>
      <top style="thin">
        <color rgb="009AA4AF"/>
      </top>
      <bottom style="thin">
        <color rgb="009AA4AF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164" fontId="6" fillId="6" borderId="2" applyAlignment="1" pivotButton="0" quotePrefix="0" xfId="0">
      <alignment horizontal="right" vertical="center"/>
    </xf>
    <xf numFmtId="165" fontId="4" fillId="5" borderId="2" applyAlignment="1" pivotButton="0" quotePrefix="0" xfId="0">
      <alignment horizontal="right" vertical="center"/>
    </xf>
    <xf numFmtId="164" fontId="5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3" fillId="2" borderId="5" applyAlignment="1" pivotButton="0" quotePrefix="0" xfId="0">
      <alignment horizontal="left" vertical="center"/>
    </xf>
    <xf numFmtId="0" fontId="3" fillId="2" borderId="6" applyAlignment="1" pivotButton="0" quotePrefix="0" xfId="0">
      <alignment horizontal="left" vertical="center"/>
    </xf>
    <xf numFmtId="10" fontId="6" fillId="4" borderId="2" applyAlignment="1" pivotButton="0" quotePrefix="0" xfId="0">
      <alignment horizontal="right" vertical="center"/>
    </xf>
    <xf numFmtId="1" fontId="4" fillId="5" borderId="2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  <xf numFmtId="10" fontId="4" fillId="5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/>
    </xf>
    <xf numFmtId="164" fontId="6" fillId="4" borderId="2" applyAlignment="1" pivotButton="0" quotePrefix="0" xfId="0">
      <alignment horizontal="right"/>
    </xf>
    <xf numFmtId="0" fontId="7" fillId="7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/>
    </xf>
    <xf numFmtId="164" fontId="0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/>
    </xf>
    <xf numFmtId="9" fontId="0" fillId="4" borderId="2" applyAlignment="1" pivotButton="0" quotePrefix="0" xfId="0">
      <alignment horizontal="left" vertical="center"/>
    </xf>
    <xf numFmtId="0" fontId="8" fillId="3" borderId="2" applyAlignment="1" pivotButton="0" quotePrefix="0" xfId="0">
      <alignment horizontal="center" vertical="center"/>
    </xf>
    <xf numFmtId="9" fontId="8" fillId="3" borderId="2" applyAlignment="1" pivotButton="0" quotePrefix="0" xfId="0">
      <alignment horizontal="center" vertical="center"/>
    </xf>
    <xf numFmtId="164" fontId="8" fillId="3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/>
    </xf>
    <xf numFmtId="9" fontId="2" fillId="0" borderId="2" applyAlignment="1" pivotButton="0" quotePrefix="0" xfId="0">
      <alignment horizontal="right"/>
    </xf>
    <xf numFmtId="0" fontId="2" fillId="4" borderId="2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7" fillId="8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164" fontId="10" fillId="0" borderId="2" applyAlignment="1" pivotButton="0" quotePrefix="0" xfId="0">
      <alignment horizontal="right" vertical="center"/>
    </xf>
    <xf numFmtId="0" fontId="9" fillId="8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10" fontId="0" fillId="0" borderId="2" applyAlignment="1" pivotButton="0" quotePrefix="0" xfId="0">
      <alignment horizontal="right"/>
    </xf>
    <xf numFmtId="0" fontId="9" fillId="7" borderId="2" applyAlignment="1" pivotButton="0" quotePrefix="0" xfId="0">
      <alignment horizontal="center"/>
    </xf>
    <xf numFmtId="0" fontId="11" fillId="4" borderId="1" applyAlignment="1" pivotButton="0" quotePrefix="0" xfId="0">
      <alignment horizontal="left"/>
    </xf>
    <xf numFmtId="10" fontId="6" fillId="6" borderId="2" applyAlignment="1" pivotButton="0" quotePrefix="0" xfId="0">
      <alignment horizontal="right" vertical="center"/>
    </xf>
    <xf numFmtId="0" fontId="0" fillId="4" borderId="2" applyAlignment="1" pivotButton="0" quotePrefix="0" xfId="0">
      <alignment horizontal="left"/>
    </xf>
    <xf numFmtId="164" fontId="12" fillId="4" borderId="2" applyAlignment="1" pivotButton="0" quotePrefix="0" xfId="0">
      <alignment horizontal="right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10" fontId="12" fillId="4" borderId="2" applyAlignment="1" pivotButton="0" quotePrefix="0" xfId="0">
      <alignment horizontal="right"/>
    </xf>
  </cellXfs>
  <cellStyles count="1">
    <cellStyle name="Normal" xfId="0" builtinId="0" hidden="0"/>
  </cellStyles>
  <dxfs count="2">
    <dxf>
      <fill>
        <patternFill patternType="solid">
          <fgColor rgb="00F8D7DA"/>
        </patternFill>
      </fill>
    </dxf>
    <dxf>
      <fill>
        <patternFill patternType="solid">
          <fgColor rgb="00F2F4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Aporte mensal por tipo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'APP'!$F$27:$F$32</f>
            </numRef>
          </cat>
          <val>
            <numRef>
              <f>'APP'!$K$27:$K$32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Patrimônio (Saldo Final)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'ENGINE'!$A$5:$A$365</f>
            </numRef>
          </cat>
          <val>
            <numRef>
              <f>'ENGINE'!$H$5:$H$365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Dividendos por mês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'ENGINE'!$A$5:$A$365</f>
            </numRef>
          </cat>
          <val>
            <numRef>
              <f>'ENGINE'!$E$5:$E$365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Riqueza Final por Cenário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'DASH'!$B$32:$B$34</f>
            </numRef>
          </cat>
          <val>
            <numRef>
              <f>'DASH'!$C$32:$C$34</f>
            </numRef>
          </val>
        </ser>
        <dLbls/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Cenário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Patrimônio Final por Cenário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'DASH'!E31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'DASH'!$B$32:$B$34</f>
            </numRef>
          </cat>
          <val>
            <numRef>
              <f>'DASH'!$E$32:$E$34</f>
            </numRef>
          </val>
        </ser>
        <dLbls/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Cenário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34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13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32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32</row>
      <rowOff>0</rowOff>
    </from>
    <ext cx="72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3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28" customWidth="1" min="2" max="2"/>
    <col width="18" customWidth="1" min="3" max="3"/>
    <col width="18" customWidth="1" min="4" max="4"/>
    <col width="2.2" customWidth="1" min="5" max="5"/>
    <col width="28" customWidth="1" min="6" max="6"/>
    <col width="18" customWidth="1" min="7" max="7"/>
    <col width="2.5" customWidth="1" min="8" max="8"/>
    <col width="2.2" customWidth="1" min="9" max="9"/>
    <col width="24" customWidth="1" min="10" max="10"/>
    <col width="18" customWidth="1" min="11" max="11"/>
    <col width="2.2" customWidth="1" min="12" max="12"/>
  </cols>
  <sheetData>
    <row r="1" ht="18" customHeight="1"/>
    <row r="2" ht="18" customHeight="1">
      <c r="B2" s="1" t="inlineStr">
        <is>
          <t>DIO INVEST PRO — Simulador Premium de Fundos Imobiliários</t>
        </is>
      </c>
    </row>
    <row r="3" ht="18" customHeight="1"/>
    <row r="4" ht="18" customHeight="1"/>
    <row r="5" ht="18" customHeight="1"/>
    <row r="6" ht="18" customHeight="1"/>
    <row r="7" ht="18" customHeight="1">
      <c r="B7" s="3" t="inlineStr">
        <is>
          <t>Insira seus parâmetros (em azul) e analise patrimônio, dividendos e cenários.</t>
        </is>
      </c>
    </row>
    <row r="8" ht="18" customHeight="1"/>
    <row r="9" ht="18" customHeight="1">
      <c r="B9" s="5" t="inlineStr">
        <is>
          <t>CONFIGURAÇÕES</t>
        </is>
      </c>
      <c r="F9" s="5" t="inlineStr">
        <is>
          <t>RESULTADOS (PARA O PRAZO SELECIONADO)</t>
        </is>
      </c>
    </row>
    <row r="10" ht="18" customHeight="1">
      <c r="B10" s="6" t="inlineStr">
        <is>
          <t>Salário mensal (R$)</t>
        </is>
      </c>
      <c r="C10" s="7" t="n">
        <v>2000</v>
      </c>
      <c r="D10" s="8" t="n"/>
      <c r="F10" s="6" t="inlineStr">
        <is>
          <t>Total investido</t>
        </is>
      </c>
      <c r="G10" s="8" t="n"/>
      <c r="H10" s="8" t="n"/>
      <c r="I10" s="8" t="n"/>
      <c r="J10" s="8" t="n"/>
      <c r="K10" s="9">
        <f>Initial + Monthly*Horizon</f>
        <v/>
      </c>
    </row>
    <row r="11" ht="18" customHeight="1">
      <c r="B11" s="6" t="inlineStr">
        <is>
          <t>Renda % sugerida p/ investir</t>
        </is>
      </c>
      <c r="C11" s="10" t="n">
        <v>0.3</v>
      </c>
      <c r="D11" s="8" t="n"/>
      <c r="F11" s="6" t="inlineStr">
        <is>
          <t>Patrimônio final</t>
        </is>
      </c>
      <c r="G11" s="8" t="n"/>
      <c r="H11" s="8" t="n"/>
      <c r="I11" s="8" t="n"/>
      <c r="J11" s="8" t="n"/>
      <c r="K11" s="9">
        <f>INDEX(ENGINE!$H$5:$H$365, Horizon+1)</f>
        <v/>
      </c>
    </row>
    <row r="12" ht="18" customHeight="1">
      <c r="B12" s="6" t="inlineStr">
        <is>
          <t>Sugestão de investimento (R$)</t>
        </is>
      </c>
      <c r="C12" s="11">
        <f>C10*C11</f>
        <v/>
      </c>
      <c r="D12" s="8" t="n"/>
      <c r="F12" s="6" t="inlineStr">
        <is>
          <t>Dividendos no último mês</t>
        </is>
      </c>
      <c r="G12" s="8" t="n"/>
      <c r="H12" s="8" t="n"/>
      <c r="I12" s="8" t="n"/>
      <c r="J12" s="8" t="n"/>
      <c r="K12" s="9">
        <f>INDEX(ENGINE!$E$5:$E$365, Horizon+1)</f>
        <v/>
      </c>
    </row>
    <row r="13" ht="18" customHeight="1">
      <c r="B13" s="6" t="inlineStr">
        <is>
          <t>Perfil do investidor</t>
        </is>
      </c>
      <c r="C13" s="12" t="inlineStr">
        <is>
          <t>Moderado</t>
        </is>
      </c>
      <c r="D13" s="8" t="n"/>
      <c r="F13" s="6" t="inlineStr">
        <is>
          <t>Dividendos sacados acumulados</t>
        </is>
      </c>
      <c r="G13" s="8" t="n"/>
      <c r="H13" s="8" t="n"/>
      <c r="I13" s="8" t="n"/>
      <c r="J13" s="8" t="n"/>
      <c r="K13" s="9">
        <f>INDEX(ENGINE!$I$5:$I$365, Horizon+1)</f>
        <v/>
      </c>
    </row>
    <row r="14" ht="18" customHeight="1">
      <c r="B14" s="6" t="inlineStr">
        <is>
          <t>Reinvestir dividendos?</t>
        </is>
      </c>
      <c r="C14" s="12" t="inlineStr">
        <is>
          <t>Sim</t>
        </is>
      </c>
      <c r="D14" s="8" t="n"/>
      <c r="F14" s="6" t="inlineStr">
        <is>
          <t>Riqueza total final (Patrimônio + Dividendos)</t>
        </is>
      </c>
      <c r="G14" s="8" t="n"/>
      <c r="H14" s="8" t="n"/>
      <c r="I14" s="8" t="n"/>
      <c r="J14" s="8" t="n"/>
      <c r="K14" s="9">
        <f>INDEX(ENGINE!$J$5:$J$365, Horizon+1)</f>
        <v/>
      </c>
    </row>
    <row r="15" ht="18" customHeight="1"/>
    <row r="16" ht="18" customHeight="1">
      <c r="B16" s="5" t="inlineStr">
        <is>
          <t>INVESTIMENTO</t>
        </is>
      </c>
      <c r="F16" s="13" t="inlineStr">
        <is>
          <t>MÉTRICAS</t>
        </is>
      </c>
      <c r="G16" s="47" t="n"/>
      <c r="H16" s="47" t="n"/>
      <c r="I16" s="47" t="n"/>
      <c r="J16" s="47" t="n"/>
      <c r="K16" s="48" t="n"/>
    </row>
    <row r="17" ht="18" customHeight="1">
      <c r="B17" s="6" t="inlineStr">
        <is>
          <t>Valor inicial (R$)</t>
        </is>
      </c>
      <c r="C17" s="7" t="n">
        <v>0</v>
      </c>
      <c r="D17" s="8" t="n"/>
      <c r="F17" s="6" t="inlineStr">
        <is>
          <t>TIR mensal (IRR)</t>
        </is>
      </c>
      <c r="G17" s="8" t="n"/>
      <c r="H17" s="8" t="n"/>
      <c r="I17" s="8" t="n"/>
      <c r="J17" s="8" t="n"/>
      <c r="K17" s="16">
        <f>IRR(ENGINE!$K$5:INDEX(ENGINE!$K$5:$K$365,Horizon+1))</f>
        <v/>
      </c>
    </row>
    <row r="18" ht="18" customHeight="1">
      <c r="B18" s="6" t="inlineStr">
        <is>
          <t>Aporte mensal (R$)</t>
        </is>
      </c>
      <c r="C18" s="7" t="n">
        <v>200</v>
      </c>
      <c r="D18" s="8" t="n"/>
      <c r="F18" s="6" t="inlineStr">
        <is>
          <t>TIR anualizada</t>
        </is>
      </c>
      <c r="G18" s="8" t="n"/>
      <c r="H18" s="8" t="n"/>
      <c r="I18" s="8" t="n"/>
      <c r="J18" s="8" t="n"/>
      <c r="K18" s="16">
        <f>POWER(1+K17,12)-1</f>
        <v/>
      </c>
    </row>
    <row r="19" ht="18" customHeight="1">
      <c r="B19" s="6" t="inlineStr">
        <is>
          <t>Prazo (meses)</t>
        </is>
      </c>
      <c r="C19" s="17" t="n">
        <v>60</v>
      </c>
      <c r="D19" s="8" t="n"/>
      <c r="F19" s="6" t="inlineStr">
        <is>
          <t>Patrimônio real (ajustado inflação)</t>
        </is>
      </c>
      <c r="G19" s="8" t="n"/>
      <c r="H19" s="8" t="n"/>
      <c r="I19" s="8" t="n"/>
      <c r="J19" s="8" t="n"/>
      <c r="K19" s="18">
        <f>K11/POWER(1+Inflation_a,Horizon/12)</f>
        <v/>
      </c>
    </row>
    <row r="20" ht="18" customHeight="1">
      <c r="B20" s="6" t="inlineStr">
        <is>
          <t>Dividend Yield mensal</t>
        </is>
      </c>
      <c r="C20" s="19" t="n">
        <v>0.0108</v>
      </c>
      <c r="D20" s="8" t="n"/>
      <c r="F20" s="6" t="inlineStr">
        <is>
          <t>CAGR nominal (riqueza total)</t>
        </is>
      </c>
      <c r="G20" s="8" t="n"/>
      <c r="H20" s="8" t="n"/>
      <c r="I20" s="8" t="n"/>
      <c r="J20" s="8" t="n"/>
      <c r="K20" s="16">
        <f>POWER(K14/K10,12/Horizon)-1</f>
        <v/>
      </c>
    </row>
    <row r="21" ht="18" customHeight="1">
      <c r="B21" s="6" t="inlineStr">
        <is>
          <t>Crescimento da cota (mensal)</t>
        </is>
      </c>
      <c r="C21" s="19" t="n">
        <v>0.002</v>
      </c>
      <c r="D21" s="8" t="n"/>
      <c r="F21" s="20" t="inlineStr">
        <is>
          <t>VPL (taxa desc. mensal em BASE)</t>
        </is>
      </c>
      <c r="K21" s="21">
        <f>NPV(Discount_m,ENGINE!$K$6:INDEX(ENGINE!$K$6:$K$365,Horizon)) + ENGINE!$K$5</f>
        <v/>
      </c>
    </row>
    <row r="22" ht="18" customHeight="1">
      <c r="B22" s="6" t="inlineStr">
        <is>
          <t>Inflação anual (opcional)</t>
        </is>
      </c>
      <c r="C22" s="19" t="n">
        <v>0.045</v>
      </c>
      <c r="D22" s="8" t="n"/>
    </row>
    <row r="23" ht="18" customHeight="1">
      <c r="B23" s="8" t="n"/>
      <c r="C23" s="8" t="n"/>
      <c r="D23" s="8" t="n"/>
    </row>
    <row r="24" ht="18" customHeight="1"/>
    <row r="25" ht="18" customHeight="1">
      <c r="B25" s="5" t="inlineStr">
        <is>
          <t>PROJEÇÕES RÁPIDAS (MESMO APORTE)</t>
        </is>
      </c>
      <c r="F25" s="5" t="inlineStr">
        <is>
          <t>ALOCAÇÃO SUGERIDA POR TIPO DE FII (POR PERFIL)</t>
        </is>
      </c>
    </row>
    <row r="26" ht="18" customHeight="1">
      <c r="B26" s="22" t="inlineStr">
        <is>
          <t>Horizonte</t>
        </is>
      </c>
      <c r="C26" s="22" t="inlineStr">
        <is>
          <t>Patrimônio</t>
        </is>
      </c>
      <c r="D26" s="22" t="inlineStr">
        <is>
          <t>Dividendo/mês</t>
        </is>
      </c>
      <c r="F26" s="22" t="inlineStr">
        <is>
          <t>Tipo</t>
        </is>
      </c>
      <c r="G26" s="8" t="n"/>
      <c r="H26" s="8" t="n"/>
      <c r="I26" s="22" t="inlineStr">
        <is>
          <t>%</t>
        </is>
      </c>
      <c r="J26" s="8" t="n"/>
      <c r="K26" s="22" t="inlineStr">
        <is>
          <t>R$/mês</t>
        </is>
      </c>
    </row>
    <row r="27" ht="18" customHeight="1">
      <c r="B27" s="23" t="inlineStr">
        <is>
          <t>2 anos</t>
        </is>
      </c>
      <c r="C27" s="24">
        <f>INDEX(ENGINE!$H$5:$H$365,24+1)</f>
        <v/>
      </c>
      <c r="D27" s="24">
        <f>INDEX(ENGINE!$E$5:$E$365,24+1)</f>
        <v/>
      </c>
      <c r="F27" s="25" t="inlineStr">
        <is>
          <t>PAPEL</t>
        </is>
      </c>
      <c r="G27" s="8" t="n"/>
      <c r="H27" s="8" t="n"/>
      <c r="I27" s="26">
        <f>SUMIFS(BASE!$D:$D,BASE!$B:$B,Profile,BASE!$C:$C,F27)</f>
        <v/>
      </c>
      <c r="J27" s="8" t="n"/>
      <c r="K27" s="24">
        <f>C18*I27</f>
        <v/>
      </c>
    </row>
    <row r="28" ht="18" customHeight="1">
      <c r="B28" s="23" t="inlineStr">
        <is>
          <t>5 anos</t>
        </is>
      </c>
      <c r="C28" s="24">
        <f>INDEX(ENGINE!$H$5:$H$365,60+1)</f>
        <v/>
      </c>
      <c r="D28" s="24">
        <f>INDEX(ENGINE!$E$5:$E$365,60+1)</f>
        <v/>
      </c>
      <c r="F28" s="25" t="inlineStr">
        <is>
          <t>TIJOLO</t>
        </is>
      </c>
      <c r="G28" s="8" t="n"/>
      <c r="H28" s="8" t="n"/>
      <c r="I28" s="26">
        <f>SUMIFS(BASE!$D:$D,BASE!$B:$B,Profile,BASE!$C:$C,F28)</f>
        <v/>
      </c>
      <c r="J28" s="8" t="n"/>
      <c r="K28" s="24">
        <f>C18*I28</f>
        <v/>
      </c>
    </row>
    <row r="29" ht="18" customHeight="1">
      <c r="B29" s="23" t="inlineStr">
        <is>
          <t>10 anos</t>
        </is>
      </c>
      <c r="C29" s="24">
        <f>INDEX(ENGINE!$H$5:$H$365,120+1)</f>
        <v/>
      </c>
      <c r="D29" s="24">
        <f>INDEX(ENGINE!$E$5:$E$365,120+1)</f>
        <v/>
      </c>
      <c r="F29" s="25" t="inlineStr">
        <is>
          <t>HÍBRIDOS</t>
        </is>
      </c>
      <c r="G29" s="8" t="n"/>
      <c r="H29" s="8" t="n"/>
      <c r="I29" s="26">
        <f>SUMIFS(BASE!$D:$D,BASE!$B:$B,Profile,BASE!$C:$C,F29)</f>
        <v/>
      </c>
      <c r="J29" s="8" t="n"/>
      <c r="K29" s="24">
        <f>C18*I29</f>
        <v/>
      </c>
    </row>
    <row r="30" ht="18" customHeight="1">
      <c r="B30" s="23" t="inlineStr">
        <is>
          <t>20 anos</t>
        </is>
      </c>
      <c r="C30" s="24">
        <f>INDEX(ENGINE!$H$5:$H$365,240+1)</f>
        <v/>
      </c>
      <c r="D30" s="24">
        <f>INDEX(ENGINE!$E$5:$E$365,240+1)</f>
        <v/>
      </c>
      <c r="F30" s="25" t="inlineStr">
        <is>
          <t>FOFs</t>
        </is>
      </c>
      <c r="G30" s="8" t="n"/>
      <c r="H30" s="8" t="n"/>
      <c r="I30" s="26">
        <f>SUMIFS(BASE!$D:$D,BASE!$B:$B,Profile,BASE!$C:$C,F30)</f>
        <v/>
      </c>
      <c r="J30" s="8" t="n"/>
      <c r="K30" s="24">
        <f>C18*I30</f>
        <v/>
      </c>
    </row>
    <row r="31" ht="18" customHeight="1">
      <c r="B31" s="23" t="inlineStr">
        <is>
          <t>30 anos</t>
        </is>
      </c>
      <c r="C31" s="24">
        <f>INDEX(ENGINE!$H$5:$H$365,360+1)</f>
        <v/>
      </c>
      <c r="D31" s="24">
        <f>INDEX(ENGINE!$E$5:$E$365,360+1)</f>
        <v/>
      </c>
      <c r="F31" s="25" t="inlineStr">
        <is>
          <t>DESENVOLVIMENTO</t>
        </is>
      </c>
      <c r="G31" s="8" t="n"/>
      <c r="H31" s="8" t="n"/>
      <c r="I31" s="26">
        <f>SUMIFS(BASE!$D:$D,BASE!$B:$B,Profile,BASE!$C:$C,F31)</f>
        <v/>
      </c>
      <c r="J31" s="8" t="n"/>
      <c r="K31" s="24">
        <f>C18*I31</f>
        <v/>
      </c>
    </row>
    <row r="32" ht="18" customHeight="1">
      <c r="B32" s="8" t="n"/>
      <c r="C32" s="8" t="n"/>
      <c r="D32" s="8" t="n"/>
      <c r="F32" s="25" t="inlineStr">
        <is>
          <t>HOTELARIAS</t>
        </is>
      </c>
      <c r="G32" s="8" t="n"/>
      <c r="H32" s="8" t="n"/>
      <c r="I32" s="26">
        <f>SUMIFS(BASE!$D:$D,BASE!$B:$B,Profile,BASE!$C:$C,F32)</f>
        <v/>
      </c>
      <c r="J32" s="8" t="n"/>
      <c r="K32" s="24">
        <f>C18*I32</f>
        <v/>
      </c>
    </row>
    <row r="33" ht="18" customHeight="1">
      <c r="B33" s="8" t="n"/>
      <c r="C33" s="8" t="n"/>
      <c r="D33" s="8" t="n"/>
      <c r="F33" s="27" t="inlineStr">
        <is>
          <t>TOTAL</t>
        </is>
      </c>
      <c r="G33" s="8" t="n"/>
      <c r="H33" s="8" t="n"/>
      <c r="I33" s="28">
        <f>SUM(I27:I32)</f>
        <v/>
      </c>
      <c r="J33" s="8" t="n"/>
      <c r="K33" s="29">
        <f>SUM(K27:K32)</f>
        <v/>
      </c>
    </row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8">
    <mergeCell ref="B2:K6"/>
    <mergeCell ref="F25:K25"/>
    <mergeCell ref="F16:K16"/>
    <mergeCell ref="B9:D9"/>
    <mergeCell ref="B7:K7"/>
    <mergeCell ref="F9:K9"/>
    <mergeCell ref="B25:D25"/>
    <mergeCell ref="B16:D16"/>
  </mergeCells>
  <conditionalFormatting sqref="I33">
    <cfRule type="cellIs" priority="1" operator="notEqual" dxfId="0">
      <formula>1</formula>
    </cfRule>
  </conditionalFormatting>
  <dataValidations count="2">
    <dataValidation sqref="C13" showDropDown="0" showInputMessage="0" showErrorMessage="0" allowBlank="0" type="list">
      <formula1>"Conservador,Moderado,Agressivo"</formula1>
    </dataValidation>
    <dataValidation sqref="C14" showDropDown="0" showInputMessage="0" showErrorMessage="0" allowBlank="0" type="list">
      <formula1>"Sim,Não"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0" customWidth="1" min="4" max="4"/>
    <col width="24" customWidth="1" min="5" max="5"/>
    <col width="16" customWidth="1" min="6" max="6"/>
  </cols>
  <sheetData>
    <row r="1" ht="18" customHeight="1">
      <c r="A1" s="5" t="inlineStr">
        <is>
          <t>TABELAS BASE (não editar)</t>
        </is>
      </c>
    </row>
    <row r="2" ht="18" customHeight="1"/>
    <row r="3" ht="18" customHeight="1">
      <c r="A3" s="30" t="inlineStr">
        <is>
          <t>CHAVE</t>
        </is>
      </c>
      <c r="B3" s="30" t="inlineStr">
        <is>
          <t>PERFIL</t>
        </is>
      </c>
      <c r="C3" s="30" t="inlineStr">
        <is>
          <t>TIPO DE FII</t>
        </is>
      </c>
      <c r="D3" s="30" t="inlineStr">
        <is>
          <t>%</t>
        </is>
      </c>
      <c r="E3" s="31" t="inlineStr">
        <is>
          <t>PARÂMETROS DE CENÁRIO</t>
        </is>
      </c>
      <c r="F3" s="49" t="n"/>
    </row>
    <row r="4" ht="18" customHeight="1">
      <c r="A4" s="32" t="inlineStr">
        <is>
          <t>Conservador-PAPEL</t>
        </is>
      </c>
      <c r="B4" s="32" t="inlineStr">
        <is>
          <t>Conservador</t>
        </is>
      </c>
      <c r="C4" s="32" t="inlineStr">
        <is>
          <t>PAPEL</t>
        </is>
      </c>
      <c r="D4" s="33" t="inlineStr"/>
      <c r="E4" s="34" t="inlineStr">
        <is>
          <t>Δ Dividend Yield (mensal)</t>
        </is>
      </c>
      <c r="F4" s="19" t="n">
        <v>0.002</v>
      </c>
    </row>
    <row r="5" ht="18" customHeight="1">
      <c r="A5" s="32" t="inlineStr">
        <is>
          <t>Conservador-TIJOLO</t>
        </is>
      </c>
      <c r="B5" s="32" t="inlineStr">
        <is>
          <t>Conservador</t>
        </is>
      </c>
      <c r="C5" s="32" t="inlineStr">
        <is>
          <t>TIJOLO</t>
        </is>
      </c>
      <c r="D5" s="33" t="n">
        <v>0.5</v>
      </c>
      <c r="E5" s="34" t="inlineStr">
        <is>
          <t>Δ Crescimento da cota (mensal)</t>
        </is>
      </c>
      <c r="F5" s="19" t="n">
        <v>0.001</v>
      </c>
    </row>
    <row r="6" ht="18" customHeight="1">
      <c r="A6" s="32" t="inlineStr">
        <is>
          <t>Conservador-HÍBRIDOS</t>
        </is>
      </c>
      <c r="B6" s="32" t="inlineStr">
        <is>
          <t>Conservador</t>
        </is>
      </c>
      <c r="C6" s="32" t="inlineStr">
        <is>
          <t>HÍBRIDOS</t>
        </is>
      </c>
      <c r="D6" s="33" t="n">
        <v>0.1</v>
      </c>
      <c r="E6" s="34" t="inlineStr">
        <is>
          <t>Taxa de desconto (mensal) p/ VPL</t>
        </is>
      </c>
      <c r="F6" s="19" t="n">
        <v>0.008</v>
      </c>
    </row>
    <row r="7" ht="18" customHeight="1">
      <c r="A7" s="32" t="inlineStr">
        <is>
          <t>Conservador-FOFs</t>
        </is>
      </c>
      <c r="B7" s="32" t="inlineStr">
        <is>
          <t>Conservador</t>
        </is>
      </c>
      <c r="C7" s="32" t="inlineStr">
        <is>
          <t>FOFs</t>
        </is>
      </c>
      <c r="D7" s="33" t="n">
        <v>0.1</v>
      </c>
    </row>
    <row r="8" ht="18" customHeight="1">
      <c r="A8" s="32" t="inlineStr">
        <is>
          <t>Conservador-DESENVOLVIMENTO</t>
        </is>
      </c>
      <c r="B8" s="32" t="inlineStr">
        <is>
          <t>Conservador</t>
        </is>
      </c>
      <c r="C8" s="32" t="inlineStr">
        <is>
          <t>DESENVOLVIMENTO</t>
        </is>
      </c>
      <c r="D8" s="33" t="n">
        <v>0</v>
      </c>
    </row>
    <row r="9" ht="18" customHeight="1">
      <c r="A9" s="32" t="inlineStr">
        <is>
          <t>Conservador-HOTELARIAS</t>
        </is>
      </c>
      <c r="B9" s="32" t="inlineStr">
        <is>
          <t>Conservador</t>
        </is>
      </c>
      <c r="C9" s="32" t="inlineStr">
        <is>
          <t>HOTELARIAS</t>
        </is>
      </c>
      <c r="D9" s="33" t="n">
        <v>0</v>
      </c>
    </row>
    <row r="10" ht="18" customHeight="1">
      <c r="A10" s="32" t="inlineStr">
        <is>
          <t>Moderado-PAPEL</t>
        </is>
      </c>
      <c r="B10" s="32" t="inlineStr">
        <is>
          <t>Moderado</t>
        </is>
      </c>
      <c r="C10" s="32" t="inlineStr">
        <is>
          <t>PAPEL</t>
        </is>
      </c>
      <c r="D10" s="33" t="n">
        <v>0.32</v>
      </c>
    </row>
    <row r="11" ht="18" customHeight="1">
      <c r="A11" s="32" t="inlineStr">
        <is>
          <t>Moderado-TIJOLO</t>
        </is>
      </c>
      <c r="B11" s="32" t="inlineStr">
        <is>
          <t>Moderado</t>
        </is>
      </c>
      <c r="C11" s="32" t="inlineStr">
        <is>
          <t>TIJOLO</t>
        </is>
      </c>
      <c r="D11" s="33" t="n">
        <v>0.35</v>
      </c>
    </row>
    <row r="12" ht="18" customHeight="1">
      <c r="A12" s="32" t="inlineStr">
        <is>
          <t>Moderado-HÍBRIDOS</t>
        </is>
      </c>
      <c r="B12" s="32" t="inlineStr">
        <is>
          <t>Moderado</t>
        </is>
      </c>
      <c r="C12" s="32" t="inlineStr">
        <is>
          <t>HÍBRIDOS</t>
        </is>
      </c>
      <c r="D12" s="33" t="n">
        <v>0.08</v>
      </c>
    </row>
    <row r="13" ht="18" customHeight="1">
      <c r="A13" s="32" t="inlineStr">
        <is>
          <t>Moderado-FOFs</t>
        </is>
      </c>
      <c r="B13" s="32" t="inlineStr">
        <is>
          <t>Moderado</t>
        </is>
      </c>
      <c r="C13" s="32" t="inlineStr">
        <is>
          <t>FOFs</t>
        </is>
      </c>
      <c r="D13" s="33" t="n">
        <v>0.05</v>
      </c>
    </row>
    <row r="14" ht="18" customHeight="1">
      <c r="A14" s="32" t="inlineStr">
        <is>
          <t>Moderado-DESENVOLVIMENTO</t>
        </is>
      </c>
      <c r="B14" s="32" t="inlineStr">
        <is>
          <t>Moderado</t>
        </is>
      </c>
      <c r="C14" s="32" t="inlineStr">
        <is>
          <t>DESENVOLVIMENTO</t>
        </is>
      </c>
      <c r="D14" s="33" t="n">
        <v>0.1</v>
      </c>
    </row>
    <row r="15" ht="18" customHeight="1">
      <c r="A15" s="32" t="inlineStr">
        <is>
          <t>Moderado-HOTELARIAS</t>
        </is>
      </c>
      <c r="B15" s="32" t="inlineStr">
        <is>
          <t>Moderado</t>
        </is>
      </c>
      <c r="C15" s="32" t="inlineStr">
        <is>
          <t>HOTELARIAS</t>
        </is>
      </c>
      <c r="D15" s="33" t="n">
        <v>0.1</v>
      </c>
    </row>
    <row r="16" ht="18" customHeight="1">
      <c r="A16" s="32" t="inlineStr">
        <is>
          <t>Agressivo-PAPEL</t>
        </is>
      </c>
      <c r="B16" s="32" t="inlineStr">
        <is>
          <t>Agressivo</t>
        </is>
      </c>
      <c r="C16" s="32" t="inlineStr">
        <is>
          <t>PAPEL</t>
        </is>
      </c>
      <c r="D16" s="33" t="n">
        <v>0.5</v>
      </c>
    </row>
    <row r="17" ht="18" customHeight="1">
      <c r="A17" s="32" t="inlineStr">
        <is>
          <t>Agressivo-TIJOLO</t>
        </is>
      </c>
      <c r="B17" s="32" t="inlineStr">
        <is>
          <t>Agressivo</t>
        </is>
      </c>
      <c r="C17" s="32" t="inlineStr">
        <is>
          <t>TIJOLO</t>
        </is>
      </c>
      <c r="D17" s="33" t="n">
        <v>0.1</v>
      </c>
    </row>
    <row r="18" ht="18" customHeight="1">
      <c r="A18" s="32" t="inlineStr">
        <is>
          <t>Agressivo-HÍBRIDOS</t>
        </is>
      </c>
      <c r="B18" s="32" t="inlineStr">
        <is>
          <t>Agressivo</t>
        </is>
      </c>
      <c r="C18" s="32" t="inlineStr">
        <is>
          <t>HÍBRIDOS</t>
        </is>
      </c>
      <c r="D18" s="33" t="n">
        <v>0.05</v>
      </c>
    </row>
    <row r="19" ht="18" customHeight="1">
      <c r="A19" s="32" t="inlineStr">
        <is>
          <t>Agressivo-FOFs</t>
        </is>
      </c>
      <c r="B19" s="32" t="inlineStr">
        <is>
          <t>Agressivo</t>
        </is>
      </c>
      <c r="C19" s="32" t="inlineStr">
        <is>
          <t>FOFs</t>
        </is>
      </c>
      <c r="D19" s="33" t="n">
        <v>0.05</v>
      </c>
    </row>
    <row r="20" ht="18" customHeight="1">
      <c r="A20" s="32" t="inlineStr">
        <is>
          <t>Agressivo-DESENVOLVIMENTO</t>
        </is>
      </c>
      <c r="B20" s="32" t="inlineStr">
        <is>
          <t>Agressivo</t>
        </is>
      </c>
      <c r="C20" s="32" t="inlineStr">
        <is>
          <t>DESENVOLVIMENTO</t>
        </is>
      </c>
      <c r="D20" s="33" t="n">
        <v>0.2</v>
      </c>
    </row>
    <row r="21" ht="18" customHeight="1">
      <c r="A21" s="32" t="inlineStr">
        <is>
          <t>Agressivo-HOTELARIAS</t>
        </is>
      </c>
      <c r="B21" s="32" t="inlineStr">
        <is>
          <t>Agressivo</t>
        </is>
      </c>
      <c r="C21" s="32" t="inlineStr">
        <is>
          <t>HOTELARIAS</t>
        </is>
      </c>
      <c r="D21" s="33" t="n">
        <v>0.1</v>
      </c>
    </row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2">
    <mergeCell ref="A1:E1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8" customWidth="1" min="9" max="9"/>
    <col width="16" customWidth="1" min="10" max="10"/>
    <col width="16" customWidth="1" min="11" max="11"/>
  </cols>
  <sheetData>
    <row r="1" ht="16" customHeight="1">
      <c r="A1" s="35" t="inlineStr">
        <is>
          <t>ENGINE — Projeção mensal (0 a 360 meses). Não edite fórmulas.</t>
        </is>
      </c>
    </row>
    <row r="2" ht="16" customHeight="1"/>
    <row r="3" ht="16" customHeight="1"/>
    <row r="4" ht="16" customHeight="1">
      <c r="A4" s="36" t="inlineStr">
        <is>
          <t>Mês</t>
        </is>
      </c>
      <c r="B4" s="36" t="inlineStr">
        <is>
          <t>Capital Base</t>
        </is>
      </c>
      <c r="C4" s="36" t="inlineStr">
        <is>
          <t>Saldo Inicial</t>
        </is>
      </c>
      <c r="D4" s="36" t="inlineStr">
        <is>
          <t>Aporte</t>
        </is>
      </c>
      <c r="E4" s="36" t="inlineStr">
        <is>
          <t>Dividendos</t>
        </is>
      </c>
      <c r="F4" s="36" t="inlineStr">
        <is>
          <t>Reinvestido</t>
        </is>
      </c>
      <c r="G4" s="36" t="inlineStr">
        <is>
          <t>Cresc. Cota</t>
        </is>
      </c>
      <c r="H4" s="36" t="inlineStr">
        <is>
          <t>Saldo Final</t>
        </is>
      </c>
      <c r="I4" s="36" t="inlineStr">
        <is>
          <t>Div. Sacados Acum.</t>
        </is>
      </c>
      <c r="J4" s="36" t="inlineStr">
        <is>
          <t>Riqueza Total</t>
        </is>
      </c>
      <c r="K4" s="36" t="inlineStr">
        <is>
          <t>Fluxo p/ TIR</t>
        </is>
      </c>
    </row>
    <row r="5" ht="16" customHeight="1">
      <c r="A5" s="37" t="n">
        <v>0</v>
      </c>
      <c r="B5" s="38">
        <f>C{r}+D{r}</f>
        <v/>
      </c>
      <c r="C5" s="38">
        <f>Initial</f>
        <v/>
      </c>
      <c r="D5" s="38" t="n">
        <v>0</v>
      </c>
      <c r="E5" s="38" t="n">
        <v>0</v>
      </c>
      <c r="F5" s="38" t="n">
        <v>0</v>
      </c>
      <c r="G5" s="38" t="n">
        <v>0</v>
      </c>
      <c r="H5" s="38">
        <f>B{r}+F{r}+G{r}</f>
        <v/>
      </c>
      <c r="I5" s="38" t="n">
        <v>0</v>
      </c>
      <c r="J5" s="38">
        <f>H{r}+I{r}</f>
        <v/>
      </c>
      <c r="K5" s="38">
        <f>-Initial</f>
        <v/>
      </c>
    </row>
    <row r="6" ht="16" customHeight="1">
      <c r="A6" s="37" t="n">
        <v>1</v>
      </c>
      <c r="B6" s="38">
        <f>C6+D6</f>
        <v/>
      </c>
      <c r="C6" s="38">
        <f>H5</f>
        <v/>
      </c>
      <c r="D6" s="38">
        <f>Monthly</f>
        <v/>
      </c>
      <c r="E6" s="38">
        <f>B6*Yield_m</f>
        <v/>
      </c>
      <c r="F6" s="38">
        <f>IF(Reinvest="Sim",E6,0)</f>
        <v/>
      </c>
      <c r="G6" s="38">
        <f>(B6+F6)*Growth_m</f>
        <v/>
      </c>
      <c r="H6" s="38">
        <f>B6+F6+G6</f>
        <v/>
      </c>
      <c r="I6" s="38">
        <f>I5+(E6-F6)</f>
        <v/>
      </c>
      <c r="J6" s="38">
        <f>H6+I6</f>
        <v/>
      </c>
      <c r="K6" s="38">
        <f>(E6-F6)-D6+IF(A6=Horizon,H6,0)</f>
        <v/>
      </c>
    </row>
    <row r="7" ht="16" customHeight="1">
      <c r="A7" s="37" t="n">
        <v>2</v>
      </c>
      <c r="B7" s="38">
        <f>C7+D7</f>
        <v/>
      </c>
      <c r="C7" s="38">
        <f>H6</f>
        <v/>
      </c>
      <c r="D7" s="38">
        <f>Monthly</f>
        <v/>
      </c>
      <c r="E7" s="38">
        <f>B7*Yield_m</f>
        <v/>
      </c>
      <c r="F7" s="38">
        <f>IF(Reinvest="Sim",E7,0)</f>
        <v/>
      </c>
      <c r="G7" s="38">
        <f>(B7+F7)*Growth_m</f>
        <v/>
      </c>
      <c r="H7" s="38">
        <f>B7+F7+G7</f>
        <v/>
      </c>
      <c r="I7" s="38">
        <f>I6+(E7-F7)</f>
        <v/>
      </c>
      <c r="J7" s="38">
        <f>H7+I7</f>
        <v/>
      </c>
      <c r="K7" s="38">
        <f>(E7-F7)-D7+IF(A7=Horizon,H7,0)</f>
        <v/>
      </c>
    </row>
    <row r="8" ht="16" customHeight="1">
      <c r="A8" s="37" t="n">
        <v>3</v>
      </c>
      <c r="B8" s="38">
        <f>C8+D8</f>
        <v/>
      </c>
      <c r="C8" s="38">
        <f>H7</f>
        <v/>
      </c>
      <c r="D8" s="38">
        <f>Monthly</f>
        <v/>
      </c>
      <c r="E8" s="38">
        <f>B8*Yield_m</f>
        <v/>
      </c>
      <c r="F8" s="38">
        <f>IF(Reinvest="Sim",E8,0)</f>
        <v/>
      </c>
      <c r="G8" s="38">
        <f>(B8+F8)*Growth_m</f>
        <v/>
      </c>
      <c r="H8" s="38">
        <f>B8+F8+G8</f>
        <v/>
      </c>
      <c r="I8" s="38">
        <f>I7+(E8-F8)</f>
        <v/>
      </c>
      <c r="J8" s="38">
        <f>H8+I8</f>
        <v/>
      </c>
      <c r="K8" s="38">
        <f>(E8-F8)-D8+IF(A8=Horizon,H8,0)</f>
        <v/>
      </c>
    </row>
    <row r="9" ht="16" customHeight="1">
      <c r="A9" s="37" t="n">
        <v>4</v>
      </c>
      <c r="B9" s="38">
        <f>C9+D9</f>
        <v/>
      </c>
      <c r="C9" s="38">
        <f>H8</f>
        <v/>
      </c>
      <c r="D9" s="38">
        <f>Monthly</f>
        <v/>
      </c>
      <c r="E9" s="38">
        <f>B9*Yield_m</f>
        <v/>
      </c>
      <c r="F9" s="38">
        <f>IF(Reinvest="Sim",E9,0)</f>
        <v/>
      </c>
      <c r="G9" s="38">
        <f>(B9+F9)*Growth_m</f>
        <v/>
      </c>
      <c r="H9" s="38">
        <f>B9+F9+G9</f>
        <v/>
      </c>
      <c r="I9" s="38">
        <f>I8+(E9-F9)</f>
        <v/>
      </c>
      <c r="J9" s="38">
        <f>H9+I9</f>
        <v/>
      </c>
      <c r="K9" s="38">
        <f>(E9-F9)-D9+IF(A9=Horizon,H9,0)</f>
        <v/>
      </c>
    </row>
    <row r="10" ht="16" customHeight="1">
      <c r="A10" s="37" t="n">
        <v>5</v>
      </c>
      <c r="B10" s="38">
        <f>C10+D10</f>
        <v/>
      </c>
      <c r="C10" s="38">
        <f>H9</f>
        <v/>
      </c>
      <c r="D10" s="38">
        <f>Monthly</f>
        <v/>
      </c>
      <c r="E10" s="38">
        <f>B10*Yield_m</f>
        <v/>
      </c>
      <c r="F10" s="38">
        <f>IF(Reinvest="Sim",E10,0)</f>
        <v/>
      </c>
      <c r="G10" s="38">
        <f>(B10+F10)*Growth_m</f>
        <v/>
      </c>
      <c r="H10" s="38">
        <f>B10+F10+G10</f>
        <v/>
      </c>
      <c r="I10" s="38">
        <f>I9+(E10-F10)</f>
        <v/>
      </c>
      <c r="J10" s="38">
        <f>H10+I10</f>
        <v/>
      </c>
      <c r="K10" s="38">
        <f>(E10-F10)-D10+IF(A10=Horizon,H10,0)</f>
        <v/>
      </c>
    </row>
    <row r="11" ht="16" customHeight="1">
      <c r="A11" s="37" t="n">
        <v>6</v>
      </c>
      <c r="B11" s="38">
        <f>C11+D11</f>
        <v/>
      </c>
      <c r="C11" s="38">
        <f>H10</f>
        <v/>
      </c>
      <c r="D11" s="38">
        <f>Monthly</f>
        <v/>
      </c>
      <c r="E11" s="38">
        <f>B11*Yield_m</f>
        <v/>
      </c>
      <c r="F11" s="38">
        <f>IF(Reinvest="Sim",E11,0)</f>
        <v/>
      </c>
      <c r="G11" s="38">
        <f>(B11+F11)*Growth_m</f>
        <v/>
      </c>
      <c r="H11" s="38">
        <f>B11+F11+G11</f>
        <v/>
      </c>
      <c r="I11" s="38">
        <f>I10+(E11-F11)</f>
        <v/>
      </c>
      <c r="J11" s="38">
        <f>H11+I11</f>
        <v/>
      </c>
      <c r="K11" s="38">
        <f>(E11-F11)-D11+IF(A11=Horizon,H11,0)</f>
        <v/>
      </c>
    </row>
    <row r="12" ht="16" customHeight="1">
      <c r="A12" s="37" t="n">
        <v>7</v>
      </c>
      <c r="B12" s="38">
        <f>C12+D12</f>
        <v/>
      </c>
      <c r="C12" s="38">
        <f>H11</f>
        <v/>
      </c>
      <c r="D12" s="38">
        <f>Monthly</f>
        <v/>
      </c>
      <c r="E12" s="38">
        <f>B12*Yield_m</f>
        <v/>
      </c>
      <c r="F12" s="38">
        <f>IF(Reinvest="Sim",E12,0)</f>
        <v/>
      </c>
      <c r="G12" s="38">
        <f>(B12+F12)*Growth_m</f>
        <v/>
      </c>
      <c r="H12" s="38">
        <f>B12+F12+G12</f>
        <v/>
      </c>
      <c r="I12" s="38">
        <f>I11+(E12-F12)</f>
        <v/>
      </c>
      <c r="J12" s="38">
        <f>H12+I12</f>
        <v/>
      </c>
      <c r="K12" s="38">
        <f>(E12-F12)-D12+IF(A12=Horizon,H12,0)</f>
        <v/>
      </c>
    </row>
    <row r="13" ht="16" customHeight="1">
      <c r="A13" s="37" t="n">
        <v>8</v>
      </c>
      <c r="B13" s="38">
        <f>C13+D13</f>
        <v/>
      </c>
      <c r="C13" s="38">
        <f>H12</f>
        <v/>
      </c>
      <c r="D13" s="38">
        <f>Monthly</f>
        <v/>
      </c>
      <c r="E13" s="38">
        <f>B13*Yield_m</f>
        <v/>
      </c>
      <c r="F13" s="38">
        <f>IF(Reinvest="Sim",E13,0)</f>
        <v/>
      </c>
      <c r="G13" s="38">
        <f>(B13+F13)*Growth_m</f>
        <v/>
      </c>
      <c r="H13" s="38">
        <f>B13+F13+G13</f>
        <v/>
      </c>
      <c r="I13" s="38">
        <f>I12+(E13-F13)</f>
        <v/>
      </c>
      <c r="J13" s="38">
        <f>H13+I13</f>
        <v/>
      </c>
      <c r="K13" s="38">
        <f>(E13-F13)-D13+IF(A13=Horizon,H13,0)</f>
        <v/>
      </c>
    </row>
    <row r="14" ht="16" customHeight="1">
      <c r="A14" s="37" t="n">
        <v>9</v>
      </c>
      <c r="B14" s="38">
        <f>C14+D14</f>
        <v/>
      </c>
      <c r="C14" s="38">
        <f>H13</f>
        <v/>
      </c>
      <c r="D14" s="38">
        <f>Monthly</f>
        <v/>
      </c>
      <c r="E14" s="38">
        <f>B14*Yield_m</f>
        <v/>
      </c>
      <c r="F14" s="38">
        <f>IF(Reinvest="Sim",E14,0)</f>
        <v/>
      </c>
      <c r="G14" s="38">
        <f>(B14+F14)*Growth_m</f>
        <v/>
      </c>
      <c r="H14" s="38">
        <f>B14+F14+G14</f>
        <v/>
      </c>
      <c r="I14" s="38">
        <f>I13+(E14-F14)</f>
        <v/>
      </c>
      <c r="J14" s="38">
        <f>H14+I14</f>
        <v/>
      </c>
      <c r="K14" s="38">
        <f>(E14-F14)-D14+IF(A14=Horizon,H14,0)</f>
        <v/>
      </c>
    </row>
    <row r="15" ht="16" customHeight="1">
      <c r="A15" s="37" t="n">
        <v>10</v>
      </c>
      <c r="B15" s="38">
        <f>C15+D15</f>
        <v/>
      </c>
      <c r="C15" s="38">
        <f>H14</f>
        <v/>
      </c>
      <c r="D15" s="38">
        <f>Monthly</f>
        <v/>
      </c>
      <c r="E15" s="38">
        <f>B15*Yield_m</f>
        <v/>
      </c>
      <c r="F15" s="38">
        <f>IF(Reinvest="Sim",E15,0)</f>
        <v/>
      </c>
      <c r="G15" s="38">
        <f>(B15+F15)*Growth_m</f>
        <v/>
      </c>
      <c r="H15" s="38">
        <f>B15+F15+G15</f>
        <v/>
      </c>
      <c r="I15" s="38">
        <f>I14+(E15-F15)</f>
        <v/>
      </c>
      <c r="J15" s="38">
        <f>H15+I15</f>
        <v/>
      </c>
      <c r="K15" s="38">
        <f>(E15-F15)-D15+IF(A15=Horizon,H15,0)</f>
        <v/>
      </c>
    </row>
    <row r="16" ht="16" customHeight="1">
      <c r="A16" s="37" t="n">
        <v>11</v>
      </c>
      <c r="B16" s="38">
        <f>C16+D16</f>
        <v/>
      </c>
      <c r="C16" s="38">
        <f>H15</f>
        <v/>
      </c>
      <c r="D16" s="38">
        <f>Monthly</f>
        <v/>
      </c>
      <c r="E16" s="38">
        <f>B16*Yield_m</f>
        <v/>
      </c>
      <c r="F16" s="38">
        <f>IF(Reinvest="Sim",E16,0)</f>
        <v/>
      </c>
      <c r="G16" s="38">
        <f>(B16+F16)*Growth_m</f>
        <v/>
      </c>
      <c r="H16" s="38">
        <f>B16+F16+G16</f>
        <v/>
      </c>
      <c r="I16" s="38">
        <f>I15+(E16-F16)</f>
        <v/>
      </c>
      <c r="J16" s="38">
        <f>H16+I16</f>
        <v/>
      </c>
      <c r="K16" s="38">
        <f>(E16-F16)-D16+IF(A16=Horizon,H16,0)</f>
        <v/>
      </c>
    </row>
    <row r="17" ht="16" customHeight="1">
      <c r="A17" s="37" t="n">
        <v>12</v>
      </c>
      <c r="B17" s="38">
        <f>C17+D17</f>
        <v/>
      </c>
      <c r="C17" s="38">
        <f>H16</f>
        <v/>
      </c>
      <c r="D17" s="38">
        <f>Monthly</f>
        <v/>
      </c>
      <c r="E17" s="38">
        <f>B17*Yield_m</f>
        <v/>
      </c>
      <c r="F17" s="38">
        <f>IF(Reinvest="Sim",E17,0)</f>
        <v/>
      </c>
      <c r="G17" s="38">
        <f>(B17+F17)*Growth_m</f>
        <v/>
      </c>
      <c r="H17" s="38">
        <f>B17+F17+G17</f>
        <v/>
      </c>
      <c r="I17" s="38">
        <f>I16+(E17-F17)</f>
        <v/>
      </c>
      <c r="J17" s="38">
        <f>H17+I17</f>
        <v/>
      </c>
      <c r="K17" s="38">
        <f>(E17-F17)-D17+IF(A17=Horizon,H17,0)</f>
        <v/>
      </c>
    </row>
    <row r="18" ht="16" customHeight="1">
      <c r="A18" s="37" t="n">
        <v>13</v>
      </c>
      <c r="B18" s="38">
        <f>C18+D18</f>
        <v/>
      </c>
      <c r="C18" s="38">
        <f>H17</f>
        <v/>
      </c>
      <c r="D18" s="38">
        <f>Monthly</f>
        <v/>
      </c>
      <c r="E18" s="38">
        <f>B18*Yield_m</f>
        <v/>
      </c>
      <c r="F18" s="38">
        <f>IF(Reinvest="Sim",E18,0)</f>
        <v/>
      </c>
      <c r="G18" s="38">
        <f>(B18+F18)*Growth_m</f>
        <v/>
      </c>
      <c r="H18" s="38">
        <f>B18+F18+G18</f>
        <v/>
      </c>
      <c r="I18" s="38">
        <f>I17+(E18-F18)</f>
        <v/>
      </c>
      <c r="J18" s="38">
        <f>H18+I18</f>
        <v/>
      </c>
      <c r="K18" s="38">
        <f>(E18-F18)-D18+IF(A18=Horizon,H18,0)</f>
        <v/>
      </c>
    </row>
    <row r="19" ht="16" customHeight="1">
      <c r="A19" s="37" t="n">
        <v>14</v>
      </c>
      <c r="B19" s="38">
        <f>C19+D19</f>
        <v/>
      </c>
      <c r="C19" s="38">
        <f>H18</f>
        <v/>
      </c>
      <c r="D19" s="38">
        <f>Monthly</f>
        <v/>
      </c>
      <c r="E19" s="38">
        <f>B19*Yield_m</f>
        <v/>
      </c>
      <c r="F19" s="38">
        <f>IF(Reinvest="Sim",E19,0)</f>
        <v/>
      </c>
      <c r="G19" s="38">
        <f>(B19+F19)*Growth_m</f>
        <v/>
      </c>
      <c r="H19" s="38">
        <f>B19+F19+G19</f>
        <v/>
      </c>
      <c r="I19" s="38">
        <f>I18+(E19-F19)</f>
        <v/>
      </c>
      <c r="J19" s="38">
        <f>H19+I19</f>
        <v/>
      </c>
      <c r="K19" s="38">
        <f>(E19-F19)-D19+IF(A19=Horizon,H19,0)</f>
        <v/>
      </c>
    </row>
    <row r="20" ht="16" customHeight="1">
      <c r="A20" s="37" t="n">
        <v>15</v>
      </c>
      <c r="B20" s="38">
        <f>C20+D20</f>
        <v/>
      </c>
      <c r="C20" s="38">
        <f>H19</f>
        <v/>
      </c>
      <c r="D20" s="38">
        <f>Monthly</f>
        <v/>
      </c>
      <c r="E20" s="38">
        <f>B20*Yield_m</f>
        <v/>
      </c>
      <c r="F20" s="38">
        <f>IF(Reinvest="Sim",E20,0)</f>
        <v/>
      </c>
      <c r="G20" s="38">
        <f>(B20+F20)*Growth_m</f>
        <v/>
      </c>
      <c r="H20" s="38">
        <f>B20+F20+G20</f>
        <v/>
      </c>
      <c r="I20" s="38">
        <f>I19+(E20-F20)</f>
        <v/>
      </c>
      <c r="J20" s="38">
        <f>H20+I20</f>
        <v/>
      </c>
      <c r="K20" s="38">
        <f>(E20-F20)-D20+IF(A20=Horizon,H20,0)</f>
        <v/>
      </c>
    </row>
    <row r="21" ht="16" customHeight="1">
      <c r="A21" s="37" t="n">
        <v>16</v>
      </c>
      <c r="B21" s="38">
        <f>C21+D21</f>
        <v/>
      </c>
      <c r="C21" s="38">
        <f>H20</f>
        <v/>
      </c>
      <c r="D21" s="38">
        <f>Monthly</f>
        <v/>
      </c>
      <c r="E21" s="38">
        <f>B21*Yield_m</f>
        <v/>
      </c>
      <c r="F21" s="38">
        <f>IF(Reinvest="Sim",E21,0)</f>
        <v/>
      </c>
      <c r="G21" s="38">
        <f>(B21+F21)*Growth_m</f>
        <v/>
      </c>
      <c r="H21" s="38">
        <f>B21+F21+G21</f>
        <v/>
      </c>
      <c r="I21" s="38">
        <f>I20+(E21-F21)</f>
        <v/>
      </c>
      <c r="J21" s="38">
        <f>H21+I21</f>
        <v/>
      </c>
      <c r="K21" s="38">
        <f>(E21-F21)-D21+IF(A21=Horizon,H21,0)</f>
        <v/>
      </c>
    </row>
    <row r="22" ht="16" customHeight="1">
      <c r="A22" s="37" t="n">
        <v>17</v>
      </c>
      <c r="B22" s="38">
        <f>C22+D22</f>
        <v/>
      </c>
      <c r="C22" s="38">
        <f>H21</f>
        <v/>
      </c>
      <c r="D22" s="38">
        <f>Monthly</f>
        <v/>
      </c>
      <c r="E22" s="38">
        <f>B22*Yield_m</f>
        <v/>
      </c>
      <c r="F22" s="38">
        <f>IF(Reinvest="Sim",E22,0)</f>
        <v/>
      </c>
      <c r="G22" s="38">
        <f>(B22+F22)*Growth_m</f>
        <v/>
      </c>
      <c r="H22" s="38">
        <f>B22+F22+G22</f>
        <v/>
      </c>
      <c r="I22" s="38">
        <f>I21+(E22-F22)</f>
        <v/>
      </c>
      <c r="J22" s="38">
        <f>H22+I22</f>
        <v/>
      </c>
      <c r="K22" s="38">
        <f>(E22-F22)-D22+IF(A22=Horizon,H22,0)</f>
        <v/>
      </c>
    </row>
    <row r="23" ht="16" customHeight="1">
      <c r="A23" s="37" t="n">
        <v>18</v>
      </c>
      <c r="B23" s="38">
        <f>C23+D23</f>
        <v/>
      </c>
      <c r="C23" s="38">
        <f>H22</f>
        <v/>
      </c>
      <c r="D23" s="38">
        <f>Monthly</f>
        <v/>
      </c>
      <c r="E23" s="38">
        <f>B23*Yield_m</f>
        <v/>
      </c>
      <c r="F23" s="38">
        <f>IF(Reinvest="Sim",E23,0)</f>
        <v/>
      </c>
      <c r="G23" s="38">
        <f>(B23+F23)*Growth_m</f>
        <v/>
      </c>
      <c r="H23" s="38">
        <f>B23+F23+G23</f>
        <v/>
      </c>
      <c r="I23" s="38">
        <f>I22+(E23-F23)</f>
        <v/>
      </c>
      <c r="J23" s="38">
        <f>H23+I23</f>
        <v/>
      </c>
      <c r="K23" s="38">
        <f>(E23-F23)-D23+IF(A23=Horizon,H23,0)</f>
        <v/>
      </c>
    </row>
    <row r="24" ht="16" customHeight="1">
      <c r="A24" s="37" t="n">
        <v>19</v>
      </c>
      <c r="B24" s="38">
        <f>C24+D24</f>
        <v/>
      </c>
      <c r="C24" s="38">
        <f>H23</f>
        <v/>
      </c>
      <c r="D24" s="38">
        <f>Monthly</f>
        <v/>
      </c>
      <c r="E24" s="38">
        <f>B24*Yield_m</f>
        <v/>
      </c>
      <c r="F24" s="38">
        <f>IF(Reinvest="Sim",E24,0)</f>
        <v/>
      </c>
      <c r="G24" s="38">
        <f>(B24+F24)*Growth_m</f>
        <v/>
      </c>
      <c r="H24" s="38">
        <f>B24+F24+G24</f>
        <v/>
      </c>
      <c r="I24" s="38">
        <f>I23+(E24-F24)</f>
        <v/>
      </c>
      <c r="J24" s="38">
        <f>H24+I24</f>
        <v/>
      </c>
      <c r="K24" s="38">
        <f>(E24-F24)-D24+IF(A24=Horizon,H24,0)</f>
        <v/>
      </c>
    </row>
    <row r="25" ht="16" customHeight="1">
      <c r="A25" s="37" t="n">
        <v>20</v>
      </c>
      <c r="B25" s="38">
        <f>C25+D25</f>
        <v/>
      </c>
      <c r="C25" s="38">
        <f>H24</f>
        <v/>
      </c>
      <c r="D25" s="38">
        <f>Monthly</f>
        <v/>
      </c>
      <c r="E25" s="38">
        <f>B25*Yield_m</f>
        <v/>
      </c>
      <c r="F25" s="38">
        <f>IF(Reinvest="Sim",E25,0)</f>
        <v/>
      </c>
      <c r="G25" s="38">
        <f>(B25+F25)*Growth_m</f>
        <v/>
      </c>
      <c r="H25" s="38">
        <f>B25+F25+G25</f>
        <v/>
      </c>
      <c r="I25" s="38">
        <f>I24+(E25-F25)</f>
        <v/>
      </c>
      <c r="J25" s="38">
        <f>H25+I25</f>
        <v/>
      </c>
      <c r="K25" s="38">
        <f>(E25-F25)-D25+IF(A25=Horizon,H25,0)</f>
        <v/>
      </c>
    </row>
    <row r="26" ht="16" customHeight="1">
      <c r="A26" s="37" t="n">
        <v>21</v>
      </c>
      <c r="B26" s="38">
        <f>C26+D26</f>
        <v/>
      </c>
      <c r="C26" s="38">
        <f>H25</f>
        <v/>
      </c>
      <c r="D26" s="38">
        <f>Monthly</f>
        <v/>
      </c>
      <c r="E26" s="38">
        <f>B26*Yield_m</f>
        <v/>
      </c>
      <c r="F26" s="38">
        <f>IF(Reinvest="Sim",E26,0)</f>
        <v/>
      </c>
      <c r="G26" s="38">
        <f>(B26+F26)*Growth_m</f>
        <v/>
      </c>
      <c r="H26" s="38">
        <f>B26+F26+G26</f>
        <v/>
      </c>
      <c r="I26" s="38">
        <f>I25+(E26-F26)</f>
        <v/>
      </c>
      <c r="J26" s="38">
        <f>H26+I26</f>
        <v/>
      </c>
      <c r="K26" s="38">
        <f>(E26-F26)-D26+IF(A26=Horizon,H26,0)</f>
        <v/>
      </c>
    </row>
    <row r="27" ht="16" customHeight="1">
      <c r="A27" s="37" t="n">
        <v>22</v>
      </c>
      <c r="B27" s="38">
        <f>C27+D27</f>
        <v/>
      </c>
      <c r="C27" s="38">
        <f>H26</f>
        <v/>
      </c>
      <c r="D27" s="38">
        <f>Monthly</f>
        <v/>
      </c>
      <c r="E27" s="38">
        <f>B27*Yield_m</f>
        <v/>
      </c>
      <c r="F27" s="38">
        <f>IF(Reinvest="Sim",E27,0)</f>
        <v/>
      </c>
      <c r="G27" s="38">
        <f>(B27+F27)*Growth_m</f>
        <v/>
      </c>
      <c r="H27" s="38">
        <f>B27+F27+G27</f>
        <v/>
      </c>
      <c r="I27" s="38">
        <f>I26+(E27-F27)</f>
        <v/>
      </c>
      <c r="J27" s="38">
        <f>H27+I27</f>
        <v/>
      </c>
      <c r="K27" s="38">
        <f>(E27-F27)-D27+IF(A27=Horizon,H27,0)</f>
        <v/>
      </c>
    </row>
    <row r="28" ht="16" customHeight="1">
      <c r="A28" s="37" t="n">
        <v>23</v>
      </c>
      <c r="B28" s="38">
        <f>C28+D28</f>
        <v/>
      </c>
      <c r="C28" s="38">
        <f>H27</f>
        <v/>
      </c>
      <c r="D28" s="38">
        <f>Monthly</f>
        <v/>
      </c>
      <c r="E28" s="38">
        <f>B28*Yield_m</f>
        <v/>
      </c>
      <c r="F28" s="38">
        <f>IF(Reinvest="Sim",E28,0)</f>
        <v/>
      </c>
      <c r="G28" s="38">
        <f>(B28+F28)*Growth_m</f>
        <v/>
      </c>
      <c r="H28" s="38">
        <f>B28+F28+G28</f>
        <v/>
      </c>
      <c r="I28" s="38">
        <f>I27+(E28-F28)</f>
        <v/>
      </c>
      <c r="J28" s="38">
        <f>H28+I28</f>
        <v/>
      </c>
      <c r="K28" s="38">
        <f>(E28-F28)-D28+IF(A28=Horizon,H28,0)</f>
        <v/>
      </c>
    </row>
    <row r="29" ht="16" customHeight="1">
      <c r="A29" s="37" t="n">
        <v>24</v>
      </c>
      <c r="B29" s="38">
        <f>C29+D29</f>
        <v/>
      </c>
      <c r="C29" s="38">
        <f>H28</f>
        <v/>
      </c>
      <c r="D29" s="38">
        <f>Monthly</f>
        <v/>
      </c>
      <c r="E29" s="38">
        <f>B29*Yield_m</f>
        <v/>
      </c>
      <c r="F29" s="38">
        <f>IF(Reinvest="Sim",E29,0)</f>
        <v/>
      </c>
      <c r="G29" s="38">
        <f>(B29+F29)*Growth_m</f>
        <v/>
      </c>
      <c r="H29" s="38">
        <f>B29+F29+G29</f>
        <v/>
      </c>
      <c r="I29" s="38">
        <f>I28+(E29-F29)</f>
        <v/>
      </c>
      <c r="J29" s="38">
        <f>H29+I29</f>
        <v/>
      </c>
      <c r="K29" s="38">
        <f>(E29-F29)-D29+IF(A29=Horizon,H29,0)</f>
        <v/>
      </c>
    </row>
    <row r="30" ht="16" customHeight="1">
      <c r="A30" s="37" t="n">
        <v>25</v>
      </c>
      <c r="B30" s="38">
        <f>C30+D30</f>
        <v/>
      </c>
      <c r="C30" s="38">
        <f>H29</f>
        <v/>
      </c>
      <c r="D30" s="38">
        <f>Monthly</f>
        <v/>
      </c>
      <c r="E30" s="38">
        <f>B30*Yield_m</f>
        <v/>
      </c>
      <c r="F30" s="38">
        <f>IF(Reinvest="Sim",E30,0)</f>
        <v/>
      </c>
      <c r="G30" s="38">
        <f>(B30+F30)*Growth_m</f>
        <v/>
      </c>
      <c r="H30" s="38">
        <f>B30+F30+G30</f>
        <v/>
      </c>
      <c r="I30" s="38">
        <f>I29+(E30-F30)</f>
        <v/>
      </c>
      <c r="J30" s="38">
        <f>H30+I30</f>
        <v/>
      </c>
      <c r="K30" s="38">
        <f>(E30-F30)-D30+IF(A30=Horizon,H30,0)</f>
        <v/>
      </c>
    </row>
    <row r="31" ht="16" customHeight="1">
      <c r="A31" s="37" t="n">
        <v>26</v>
      </c>
      <c r="B31" s="38">
        <f>C31+D31</f>
        <v/>
      </c>
      <c r="C31" s="38">
        <f>H30</f>
        <v/>
      </c>
      <c r="D31" s="38">
        <f>Monthly</f>
        <v/>
      </c>
      <c r="E31" s="38">
        <f>B31*Yield_m</f>
        <v/>
      </c>
      <c r="F31" s="38">
        <f>IF(Reinvest="Sim",E31,0)</f>
        <v/>
      </c>
      <c r="G31" s="38">
        <f>(B31+F31)*Growth_m</f>
        <v/>
      </c>
      <c r="H31" s="38">
        <f>B31+F31+G31</f>
        <v/>
      </c>
      <c r="I31" s="38">
        <f>I30+(E31-F31)</f>
        <v/>
      </c>
      <c r="J31" s="38">
        <f>H31+I31</f>
        <v/>
      </c>
      <c r="K31" s="38">
        <f>(E31-F31)-D31+IF(A31=Horizon,H31,0)</f>
        <v/>
      </c>
    </row>
    <row r="32" ht="16" customHeight="1">
      <c r="A32" s="37" t="n">
        <v>27</v>
      </c>
      <c r="B32" s="38">
        <f>C32+D32</f>
        <v/>
      </c>
      <c r="C32" s="38">
        <f>H31</f>
        <v/>
      </c>
      <c r="D32" s="38">
        <f>Monthly</f>
        <v/>
      </c>
      <c r="E32" s="38">
        <f>B32*Yield_m</f>
        <v/>
      </c>
      <c r="F32" s="38">
        <f>IF(Reinvest="Sim",E32,0)</f>
        <v/>
      </c>
      <c r="G32" s="38">
        <f>(B32+F32)*Growth_m</f>
        <v/>
      </c>
      <c r="H32" s="38">
        <f>B32+F32+G32</f>
        <v/>
      </c>
      <c r="I32" s="38">
        <f>I31+(E32-F32)</f>
        <v/>
      </c>
      <c r="J32" s="38">
        <f>H32+I32</f>
        <v/>
      </c>
      <c r="K32" s="38">
        <f>(E32-F32)-D32+IF(A32=Horizon,H32,0)</f>
        <v/>
      </c>
    </row>
    <row r="33" ht="16" customHeight="1">
      <c r="A33" s="37" t="n">
        <v>28</v>
      </c>
      <c r="B33" s="38">
        <f>C33+D33</f>
        <v/>
      </c>
      <c r="C33" s="38">
        <f>H32</f>
        <v/>
      </c>
      <c r="D33" s="38">
        <f>Monthly</f>
        <v/>
      </c>
      <c r="E33" s="38">
        <f>B33*Yield_m</f>
        <v/>
      </c>
      <c r="F33" s="38">
        <f>IF(Reinvest="Sim",E33,0)</f>
        <v/>
      </c>
      <c r="G33" s="38">
        <f>(B33+F33)*Growth_m</f>
        <v/>
      </c>
      <c r="H33" s="38">
        <f>B33+F33+G33</f>
        <v/>
      </c>
      <c r="I33" s="38">
        <f>I32+(E33-F33)</f>
        <v/>
      </c>
      <c r="J33" s="38">
        <f>H33+I33</f>
        <v/>
      </c>
      <c r="K33" s="38">
        <f>(E33-F33)-D33+IF(A33=Horizon,H33,0)</f>
        <v/>
      </c>
    </row>
    <row r="34" ht="16" customHeight="1">
      <c r="A34" s="37" t="n">
        <v>29</v>
      </c>
      <c r="B34" s="38">
        <f>C34+D34</f>
        <v/>
      </c>
      <c r="C34" s="38">
        <f>H33</f>
        <v/>
      </c>
      <c r="D34" s="38">
        <f>Monthly</f>
        <v/>
      </c>
      <c r="E34" s="38">
        <f>B34*Yield_m</f>
        <v/>
      </c>
      <c r="F34" s="38">
        <f>IF(Reinvest="Sim",E34,0)</f>
        <v/>
      </c>
      <c r="G34" s="38">
        <f>(B34+F34)*Growth_m</f>
        <v/>
      </c>
      <c r="H34" s="38">
        <f>B34+F34+G34</f>
        <v/>
      </c>
      <c r="I34" s="38">
        <f>I33+(E34-F34)</f>
        <v/>
      </c>
      <c r="J34" s="38">
        <f>H34+I34</f>
        <v/>
      </c>
      <c r="K34" s="38">
        <f>(E34-F34)-D34+IF(A34=Horizon,H34,0)</f>
        <v/>
      </c>
    </row>
    <row r="35" ht="16" customHeight="1">
      <c r="A35" s="37" t="n">
        <v>30</v>
      </c>
      <c r="B35" s="38">
        <f>C35+D35</f>
        <v/>
      </c>
      <c r="C35" s="38">
        <f>H34</f>
        <v/>
      </c>
      <c r="D35" s="38">
        <f>Monthly</f>
        <v/>
      </c>
      <c r="E35" s="38">
        <f>B35*Yield_m</f>
        <v/>
      </c>
      <c r="F35" s="38">
        <f>IF(Reinvest="Sim",E35,0)</f>
        <v/>
      </c>
      <c r="G35" s="38">
        <f>(B35+F35)*Growth_m</f>
        <v/>
      </c>
      <c r="H35" s="38">
        <f>B35+F35+G35</f>
        <v/>
      </c>
      <c r="I35" s="38">
        <f>I34+(E35-F35)</f>
        <v/>
      </c>
      <c r="J35" s="38">
        <f>H35+I35</f>
        <v/>
      </c>
      <c r="K35" s="38">
        <f>(E35-F35)-D35+IF(A35=Horizon,H35,0)</f>
        <v/>
      </c>
    </row>
    <row r="36" ht="16" customHeight="1">
      <c r="A36" s="37" t="n">
        <v>31</v>
      </c>
      <c r="B36" s="38">
        <f>C36+D36</f>
        <v/>
      </c>
      <c r="C36" s="38">
        <f>H35</f>
        <v/>
      </c>
      <c r="D36" s="38">
        <f>Monthly</f>
        <v/>
      </c>
      <c r="E36" s="38">
        <f>B36*Yield_m</f>
        <v/>
      </c>
      <c r="F36" s="38">
        <f>IF(Reinvest="Sim",E36,0)</f>
        <v/>
      </c>
      <c r="G36" s="38">
        <f>(B36+F36)*Growth_m</f>
        <v/>
      </c>
      <c r="H36" s="38">
        <f>B36+F36+G36</f>
        <v/>
      </c>
      <c r="I36" s="38">
        <f>I35+(E36-F36)</f>
        <v/>
      </c>
      <c r="J36" s="38">
        <f>H36+I36</f>
        <v/>
      </c>
      <c r="K36" s="38">
        <f>(E36-F36)-D36+IF(A36=Horizon,H36,0)</f>
        <v/>
      </c>
    </row>
    <row r="37" ht="16" customHeight="1">
      <c r="A37" s="37" t="n">
        <v>32</v>
      </c>
      <c r="B37" s="38">
        <f>C37+D37</f>
        <v/>
      </c>
      <c r="C37" s="38">
        <f>H36</f>
        <v/>
      </c>
      <c r="D37" s="38">
        <f>Monthly</f>
        <v/>
      </c>
      <c r="E37" s="38">
        <f>B37*Yield_m</f>
        <v/>
      </c>
      <c r="F37" s="38">
        <f>IF(Reinvest="Sim",E37,0)</f>
        <v/>
      </c>
      <c r="G37" s="38">
        <f>(B37+F37)*Growth_m</f>
        <v/>
      </c>
      <c r="H37" s="38">
        <f>B37+F37+G37</f>
        <v/>
      </c>
      <c r="I37" s="38">
        <f>I36+(E37-F37)</f>
        <v/>
      </c>
      <c r="J37" s="38">
        <f>H37+I37</f>
        <v/>
      </c>
      <c r="K37" s="38">
        <f>(E37-F37)-D37+IF(A37=Horizon,H37,0)</f>
        <v/>
      </c>
    </row>
    <row r="38" ht="16" customHeight="1">
      <c r="A38" s="37" t="n">
        <v>33</v>
      </c>
      <c r="B38" s="38">
        <f>C38+D38</f>
        <v/>
      </c>
      <c r="C38" s="38">
        <f>H37</f>
        <v/>
      </c>
      <c r="D38" s="38">
        <f>Monthly</f>
        <v/>
      </c>
      <c r="E38" s="38">
        <f>B38*Yield_m</f>
        <v/>
      </c>
      <c r="F38" s="38">
        <f>IF(Reinvest="Sim",E38,0)</f>
        <v/>
      </c>
      <c r="G38" s="38">
        <f>(B38+F38)*Growth_m</f>
        <v/>
      </c>
      <c r="H38" s="38">
        <f>B38+F38+G38</f>
        <v/>
      </c>
      <c r="I38" s="38">
        <f>I37+(E38-F38)</f>
        <v/>
      </c>
      <c r="J38" s="38">
        <f>H38+I38</f>
        <v/>
      </c>
      <c r="K38" s="38">
        <f>(E38-F38)-D38+IF(A38=Horizon,H38,0)</f>
        <v/>
      </c>
    </row>
    <row r="39" ht="16" customHeight="1">
      <c r="A39" s="37" t="n">
        <v>34</v>
      </c>
      <c r="B39" s="38">
        <f>C39+D39</f>
        <v/>
      </c>
      <c r="C39" s="38">
        <f>H38</f>
        <v/>
      </c>
      <c r="D39" s="38">
        <f>Monthly</f>
        <v/>
      </c>
      <c r="E39" s="38">
        <f>B39*Yield_m</f>
        <v/>
      </c>
      <c r="F39" s="38">
        <f>IF(Reinvest="Sim",E39,0)</f>
        <v/>
      </c>
      <c r="G39" s="38">
        <f>(B39+F39)*Growth_m</f>
        <v/>
      </c>
      <c r="H39" s="38">
        <f>B39+F39+G39</f>
        <v/>
      </c>
      <c r="I39" s="38">
        <f>I38+(E39-F39)</f>
        <v/>
      </c>
      <c r="J39" s="38">
        <f>H39+I39</f>
        <v/>
      </c>
      <c r="K39" s="38">
        <f>(E39-F39)-D39+IF(A39=Horizon,H39,0)</f>
        <v/>
      </c>
    </row>
    <row r="40" ht="16" customHeight="1">
      <c r="A40" s="37" t="n">
        <v>35</v>
      </c>
      <c r="B40" s="38">
        <f>C40+D40</f>
        <v/>
      </c>
      <c r="C40" s="38">
        <f>H39</f>
        <v/>
      </c>
      <c r="D40" s="38">
        <f>Monthly</f>
        <v/>
      </c>
      <c r="E40" s="38">
        <f>B40*Yield_m</f>
        <v/>
      </c>
      <c r="F40" s="38">
        <f>IF(Reinvest="Sim",E40,0)</f>
        <v/>
      </c>
      <c r="G40" s="38">
        <f>(B40+F40)*Growth_m</f>
        <v/>
      </c>
      <c r="H40" s="38">
        <f>B40+F40+G40</f>
        <v/>
      </c>
      <c r="I40" s="38">
        <f>I39+(E40-F40)</f>
        <v/>
      </c>
      <c r="J40" s="38">
        <f>H40+I40</f>
        <v/>
      </c>
      <c r="K40" s="38">
        <f>(E40-F40)-D40+IF(A40=Horizon,H40,0)</f>
        <v/>
      </c>
    </row>
    <row r="41" ht="16" customHeight="1">
      <c r="A41" s="37" t="n">
        <v>36</v>
      </c>
      <c r="B41" s="38">
        <f>C41+D41</f>
        <v/>
      </c>
      <c r="C41" s="38">
        <f>H40</f>
        <v/>
      </c>
      <c r="D41" s="38">
        <f>Monthly</f>
        <v/>
      </c>
      <c r="E41" s="38">
        <f>B41*Yield_m</f>
        <v/>
      </c>
      <c r="F41" s="38">
        <f>IF(Reinvest="Sim",E41,0)</f>
        <v/>
      </c>
      <c r="G41" s="38">
        <f>(B41+F41)*Growth_m</f>
        <v/>
      </c>
      <c r="H41" s="38">
        <f>B41+F41+G41</f>
        <v/>
      </c>
      <c r="I41" s="38">
        <f>I40+(E41-F41)</f>
        <v/>
      </c>
      <c r="J41" s="38">
        <f>H41+I41</f>
        <v/>
      </c>
      <c r="K41" s="38">
        <f>(E41-F41)-D41+IF(A41=Horizon,H41,0)</f>
        <v/>
      </c>
    </row>
    <row r="42" ht="16" customHeight="1">
      <c r="A42" s="37" t="n">
        <v>37</v>
      </c>
      <c r="B42" s="38">
        <f>C42+D42</f>
        <v/>
      </c>
      <c r="C42" s="38">
        <f>H41</f>
        <v/>
      </c>
      <c r="D42" s="38">
        <f>Monthly</f>
        <v/>
      </c>
      <c r="E42" s="38">
        <f>B42*Yield_m</f>
        <v/>
      </c>
      <c r="F42" s="38">
        <f>IF(Reinvest="Sim",E42,0)</f>
        <v/>
      </c>
      <c r="G42" s="38">
        <f>(B42+F42)*Growth_m</f>
        <v/>
      </c>
      <c r="H42" s="38">
        <f>B42+F42+G42</f>
        <v/>
      </c>
      <c r="I42" s="38">
        <f>I41+(E42-F42)</f>
        <v/>
      </c>
      <c r="J42" s="38">
        <f>H42+I42</f>
        <v/>
      </c>
      <c r="K42" s="38">
        <f>(E42-F42)-D42+IF(A42=Horizon,H42,0)</f>
        <v/>
      </c>
    </row>
    <row r="43" ht="16" customHeight="1">
      <c r="A43" s="37" t="n">
        <v>38</v>
      </c>
      <c r="B43" s="38">
        <f>C43+D43</f>
        <v/>
      </c>
      <c r="C43" s="38">
        <f>H42</f>
        <v/>
      </c>
      <c r="D43" s="38">
        <f>Monthly</f>
        <v/>
      </c>
      <c r="E43" s="38">
        <f>B43*Yield_m</f>
        <v/>
      </c>
      <c r="F43" s="38">
        <f>IF(Reinvest="Sim",E43,0)</f>
        <v/>
      </c>
      <c r="G43" s="38">
        <f>(B43+F43)*Growth_m</f>
        <v/>
      </c>
      <c r="H43" s="38">
        <f>B43+F43+G43</f>
        <v/>
      </c>
      <c r="I43" s="38">
        <f>I42+(E43-F43)</f>
        <v/>
      </c>
      <c r="J43" s="38">
        <f>H43+I43</f>
        <v/>
      </c>
      <c r="K43" s="38">
        <f>(E43-F43)-D43+IF(A43=Horizon,H43,0)</f>
        <v/>
      </c>
    </row>
    <row r="44" ht="16" customHeight="1">
      <c r="A44" s="37" t="n">
        <v>39</v>
      </c>
      <c r="B44" s="38">
        <f>C44+D44</f>
        <v/>
      </c>
      <c r="C44" s="38">
        <f>H43</f>
        <v/>
      </c>
      <c r="D44" s="38">
        <f>Monthly</f>
        <v/>
      </c>
      <c r="E44" s="38">
        <f>B44*Yield_m</f>
        <v/>
      </c>
      <c r="F44" s="38">
        <f>IF(Reinvest="Sim",E44,0)</f>
        <v/>
      </c>
      <c r="G44" s="38">
        <f>(B44+F44)*Growth_m</f>
        <v/>
      </c>
      <c r="H44" s="38">
        <f>B44+F44+G44</f>
        <v/>
      </c>
      <c r="I44" s="38">
        <f>I43+(E44-F44)</f>
        <v/>
      </c>
      <c r="J44" s="38">
        <f>H44+I44</f>
        <v/>
      </c>
      <c r="K44" s="38">
        <f>(E44-F44)-D44+IF(A44=Horizon,H44,0)</f>
        <v/>
      </c>
    </row>
    <row r="45" ht="16" customHeight="1">
      <c r="A45" s="37" t="n">
        <v>40</v>
      </c>
      <c r="B45" s="38">
        <f>C45+D45</f>
        <v/>
      </c>
      <c r="C45" s="38">
        <f>H44</f>
        <v/>
      </c>
      <c r="D45" s="38">
        <f>Monthly</f>
        <v/>
      </c>
      <c r="E45" s="38">
        <f>B45*Yield_m</f>
        <v/>
      </c>
      <c r="F45" s="38">
        <f>IF(Reinvest="Sim",E45,0)</f>
        <v/>
      </c>
      <c r="G45" s="38">
        <f>(B45+F45)*Growth_m</f>
        <v/>
      </c>
      <c r="H45" s="38">
        <f>B45+F45+G45</f>
        <v/>
      </c>
      <c r="I45" s="38">
        <f>I44+(E45-F45)</f>
        <v/>
      </c>
      <c r="J45" s="38">
        <f>H45+I45</f>
        <v/>
      </c>
      <c r="K45" s="38">
        <f>(E45-F45)-D45+IF(A45=Horizon,H45,0)</f>
        <v/>
      </c>
    </row>
    <row r="46" ht="16" customHeight="1">
      <c r="A46" s="37" t="n">
        <v>41</v>
      </c>
      <c r="B46" s="38">
        <f>C46+D46</f>
        <v/>
      </c>
      <c r="C46" s="38">
        <f>H45</f>
        <v/>
      </c>
      <c r="D46" s="38">
        <f>Monthly</f>
        <v/>
      </c>
      <c r="E46" s="38">
        <f>B46*Yield_m</f>
        <v/>
      </c>
      <c r="F46" s="38">
        <f>IF(Reinvest="Sim",E46,0)</f>
        <v/>
      </c>
      <c r="G46" s="38">
        <f>(B46+F46)*Growth_m</f>
        <v/>
      </c>
      <c r="H46" s="38">
        <f>B46+F46+G46</f>
        <v/>
      </c>
      <c r="I46" s="38">
        <f>I45+(E46-F46)</f>
        <v/>
      </c>
      <c r="J46" s="38">
        <f>H46+I46</f>
        <v/>
      </c>
      <c r="K46" s="38">
        <f>(E46-F46)-D46+IF(A46=Horizon,H46,0)</f>
        <v/>
      </c>
    </row>
    <row r="47" ht="16" customHeight="1">
      <c r="A47" s="37" t="n">
        <v>42</v>
      </c>
      <c r="B47" s="38">
        <f>C47+D47</f>
        <v/>
      </c>
      <c r="C47" s="38">
        <f>H46</f>
        <v/>
      </c>
      <c r="D47" s="38">
        <f>Monthly</f>
        <v/>
      </c>
      <c r="E47" s="38">
        <f>B47*Yield_m</f>
        <v/>
      </c>
      <c r="F47" s="38">
        <f>IF(Reinvest="Sim",E47,0)</f>
        <v/>
      </c>
      <c r="G47" s="38">
        <f>(B47+F47)*Growth_m</f>
        <v/>
      </c>
      <c r="H47" s="38">
        <f>B47+F47+G47</f>
        <v/>
      </c>
      <c r="I47" s="38">
        <f>I46+(E47-F47)</f>
        <v/>
      </c>
      <c r="J47" s="38">
        <f>H47+I47</f>
        <v/>
      </c>
      <c r="K47" s="38">
        <f>(E47-F47)-D47+IF(A47=Horizon,H47,0)</f>
        <v/>
      </c>
    </row>
    <row r="48" ht="16" customHeight="1">
      <c r="A48" s="37" t="n">
        <v>43</v>
      </c>
      <c r="B48" s="38">
        <f>C48+D48</f>
        <v/>
      </c>
      <c r="C48" s="38">
        <f>H47</f>
        <v/>
      </c>
      <c r="D48" s="38">
        <f>Monthly</f>
        <v/>
      </c>
      <c r="E48" s="38">
        <f>B48*Yield_m</f>
        <v/>
      </c>
      <c r="F48" s="38">
        <f>IF(Reinvest="Sim",E48,0)</f>
        <v/>
      </c>
      <c r="G48" s="38">
        <f>(B48+F48)*Growth_m</f>
        <v/>
      </c>
      <c r="H48" s="38">
        <f>B48+F48+G48</f>
        <v/>
      </c>
      <c r="I48" s="38">
        <f>I47+(E48-F48)</f>
        <v/>
      </c>
      <c r="J48" s="38">
        <f>H48+I48</f>
        <v/>
      </c>
      <c r="K48" s="38">
        <f>(E48-F48)-D48+IF(A48=Horizon,H48,0)</f>
        <v/>
      </c>
    </row>
    <row r="49" ht="16" customHeight="1">
      <c r="A49" s="37" t="n">
        <v>44</v>
      </c>
      <c r="B49" s="38">
        <f>C49+D49</f>
        <v/>
      </c>
      <c r="C49" s="38">
        <f>H48</f>
        <v/>
      </c>
      <c r="D49" s="38">
        <f>Monthly</f>
        <v/>
      </c>
      <c r="E49" s="38">
        <f>B49*Yield_m</f>
        <v/>
      </c>
      <c r="F49" s="38">
        <f>IF(Reinvest="Sim",E49,0)</f>
        <v/>
      </c>
      <c r="G49" s="38">
        <f>(B49+F49)*Growth_m</f>
        <v/>
      </c>
      <c r="H49" s="38">
        <f>B49+F49+G49</f>
        <v/>
      </c>
      <c r="I49" s="38">
        <f>I48+(E49-F49)</f>
        <v/>
      </c>
      <c r="J49" s="38">
        <f>H49+I49</f>
        <v/>
      </c>
      <c r="K49" s="38">
        <f>(E49-F49)-D49+IF(A49=Horizon,H49,0)</f>
        <v/>
      </c>
    </row>
    <row r="50" ht="16" customHeight="1">
      <c r="A50" s="37" t="n">
        <v>45</v>
      </c>
      <c r="B50" s="38">
        <f>C50+D50</f>
        <v/>
      </c>
      <c r="C50" s="38">
        <f>H49</f>
        <v/>
      </c>
      <c r="D50" s="38">
        <f>Monthly</f>
        <v/>
      </c>
      <c r="E50" s="38">
        <f>B50*Yield_m</f>
        <v/>
      </c>
      <c r="F50" s="38">
        <f>IF(Reinvest="Sim",E50,0)</f>
        <v/>
      </c>
      <c r="G50" s="38">
        <f>(B50+F50)*Growth_m</f>
        <v/>
      </c>
      <c r="H50" s="38">
        <f>B50+F50+G50</f>
        <v/>
      </c>
      <c r="I50" s="38">
        <f>I49+(E50-F50)</f>
        <v/>
      </c>
      <c r="J50" s="38">
        <f>H50+I50</f>
        <v/>
      </c>
      <c r="K50" s="38">
        <f>(E50-F50)-D50+IF(A50=Horizon,H50,0)</f>
        <v/>
      </c>
    </row>
    <row r="51" ht="16" customHeight="1">
      <c r="A51" s="37" t="n">
        <v>46</v>
      </c>
      <c r="B51" s="38">
        <f>C51+D51</f>
        <v/>
      </c>
      <c r="C51" s="38">
        <f>H50</f>
        <v/>
      </c>
      <c r="D51" s="38">
        <f>Monthly</f>
        <v/>
      </c>
      <c r="E51" s="38">
        <f>B51*Yield_m</f>
        <v/>
      </c>
      <c r="F51" s="38">
        <f>IF(Reinvest="Sim",E51,0)</f>
        <v/>
      </c>
      <c r="G51" s="38">
        <f>(B51+F51)*Growth_m</f>
        <v/>
      </c>
      <c r="H51" s="38">
        <f>B51+F51+G51</f>
        <v/>
      </c>
      <c r="I51" s="38">
        <f>I50+(E51-F51)</f>
        <v/>
      </c>
      <c r="J51" s="38">
        <f>H51+I51</f>
        <v/>
      </c>
      <c r="K51" s="38">
        <f>(E51-F51)-D51+IF(A51=Horizon,H51,0)</f>
        <v/>
      </c>
    </row>
    <row r="52" ht="16" customHeight="1">
      <c r="A52" s="37" t="n">
        <v>47</v>
      </c>
      <c r="B52" s="38">
        <f>C52+D52</f>
        <v/>
      </c>
      <c r="C52" s="38">
        <f>H51</f>
        <v/>
      </c>
      <c r="D52" s="38">
        <f>Monthly</f>
        <v/>
      </c>
      <c r="E52" s="38">
        <f>B52*Yield_m</f>
        <v/>
      </c>
      <c r="F52" s="38">
        <f>IF(Reinvest="Sim",E52,0)</f>
        <v/>
      </c>
      <c r="G52" s="38">
        <f>(B52+F52)*Growth_m</f>
        <v/>
      </c>
      <c r="H52" s="38">
        <f>B52+F52+G52</f>
        <v/>
      </c>
      <c r="I52" s="38">
        <f>I51+(E52-F52)</f>
        <v/>
      </c>
      <c r="J52" s="38">
        <f>H52+I52</f>
        <v/>
      </c>
      <c r="K52" s="38">
        <f>(E52-F52)-D52+IF(A52=Horizon,H52,0)</f>
        <v/>
      </c>
    </row>
    <row r="53" ht="16" customHeight="1">
      <c r="A53" s="37" t="n">
        <v>48</v>
      </c>
      <c r="B53" s="38">
        <f>C53+D53</f>
        <v/>
      </c>
      <c r="C53" s="38">
        <f>H52</f>
        <v/>
      </c>
      <c r="D53" s="38">
        <f>Monthly</f>
        <v/>
      </c>
      <c r="E53" s="38">
        <f>B53*Yield_m</f>
        <v/>
      </c>
      <c r="F53" s="38">
        <f>IF(Reinvest="Sim",E53,0)</f>
        <v/>
      </c>
      <c r="G53" s="38">
        <f>(B53+F53)*Growth_m</f>
        <v/>
      </c>
      <c r="H53" s="38">
        <f>B53+F53+G53</f>
        <v/>
      </c>
      <c r="I53" s="38">
        <f>I52+(E53-F53)</f>
        <v/>
      </c>
      <c r="J53" s="38">
        <f>H53+I53</f>
        <v/>
      </c>
      <c r="K53" s="38">
        <f>(E53-F53)-D53+IF(A53=Horizon,H53,0)</f>
        <v/>
      </c>
    </row>
    <row r="54" ht="16" customHeight="1">
      <c r="A54" s="37" t="n">
        <v>49</v>
      </c>
      <c r="B54" s="38">
        <f>C54+D54</f>
        <v/>
      </c>
      <c r="C54" s="38">
        <f>H53</f>
        <v/>
      </c>
      <c r="D54" s="38">
        <f>Monthly</f>
        <v/>
      </c>
      <c r="E54" s="38">
        <f>B54*Yield_m</f>
        <v/>
      </c>
      <c r="F54" s="38">
        <f>IF(Reinvest="Sim",E54,0)</f>
        <v/>
      </c>
      <c r="G54" s="38">
        <f>(B54+F54)*Growth_m</f>
        <v/>
      </c>
      <c r="H54" s="38">
        <f>B54+F54+G54</f>
        <v/>
      </c>
      <c r="I54" s="38">
        <f>I53+(E54-F54)</f>
        <v/>
      </c>
      <c r="J54" s="38">
        <f>H54+I54</f>
        <v/>
      </c>
      <c r="K54" s="38">
        <f>(E54-F54)-D54+IF(A54=Horizon,H54,0)</f>
        <v/>
      </c>
    </row>
    <row r="55" ht="16" customHeight="1">
      <c r="A55" s="37" t="n">
        <v>50</v>
      </c>
      <c r="B55" s="38">
        <f>C55+D55</f>
        <v/>
      </c>
      <c r="C55" s="38">
        <f>H54</f>
        <v/>
      </c>
      <c r="D55" s="38">
        <f>Monthly</f>
        <v/>
      </c>
      <c r="E55" s="38">
        <f>B55*Yield_m</f>
        <v/>
      </c>
      <c r="F55" s="38">
        <f>IF(Reinvest="Sim",E55,0)</f>
        <v/>
      </c>
      <c r="G55" s="38">
        <f>(B55+F55)*Growth_m</f>
        <v/>
      </c>
      <c r="H55" s="38">
        <f>B55+F55+G55</f>
        <v/>
      </c>
      <c r="I55" s="38">
        <f>I54+(E55-F55)</f>
        <v/>
      </c>
      <c r="J55" s="38">
        <f>H55+I55</f>
        <v/>
      </c>
      <c r="K55" s="38">
        <f>(E55-F55)-D55+IF(A55=Horizon,H55,0)</f>
        <v/>
      </c>
    </row>
    <row r="56" ht="16" customHeight="1">
      <c r="A56" s="37" t="n">
        <v>51</v>
      </c>
      <c r="B56" s="38">
        <f>C56+D56</f>
        <v/>
      </c>
      <c r="C56" s="38">
        <f>H55</f>
        <v/>
      </c>
      <c r="D56" s="38">
        <f>Monthly</f>
        <v/>
      </c>
      <c r="E56" s="38">
        <f>B56*Yield_m</f>
        <v/>
      </c>
      <c r="F56" s="38">
        <f>IF(Reinvest="Sim",E56,0)</f>
        <v/>
      </c>
      <c r="G56" s="38">
        <f>(B56+F56)*Growth_m</f>
        <v/>
      </c>
      <c r="H56" s="38">
        <f>B56+F56+G56</f>
        <v/>
      </c>
      <c r="I56" s="38">
        <f>I55+(E56-F56)</f>
        <v/>
      </c>
      <c r="J56" s="38">
        <f>H56+I56</f>
        <v/>
      </c>
      <c r="K56" s="38">
        <f>(E56-F56)-D56+IF(A56=Horizon,H56,0)</f>
        <v/>
      </c>
    </row>
    <row r="57" ht="16" customHeight="1">
      <c r="A57" s="37" t="n">
        <v>52</v>
      </c>
      <c r="B57" s="38">
        <f>C57+D57</f>
        <v/>
      </c>
      <c r="C57" s="38">
        <f>H56</f>
        <v/>
      </c>
      <c r="D57" s="38">
        <f>Monthly</f>
        <v/>
      </c>
      <c r="E57" s="38">
        <f>B57*Yield_m</f>
        <v/>
      </c>
      <c r="F57" s="38">
        <f>IF(Reinvest="Sim",E57,0)</f>
        <v/>
      </c>
      <c r="G57" s="38">
        <f>(B57+F57)*Growth_m</f>
        <v/>
      </c>
      <c r="H57" s="38">
        <f>B57+F57+G57</f>
        <v/>
      </c>
      <c r="I57" s="38">
        <f>I56+(E57-F57)</f>
        <v/>
      </c>
      <c r="J57" s="38">
        <f>H57+I57</f>
        <v/>
      </c>
      <c r="K57" s="38">
        <f>(E57-F57)-D57+IF(A57=Horizon,H57,0)</f>
        <v/>
      </c>
    </row>
    <row r="58" ht="16" customHeight="1">
      <c r="A58" s="37" t="n">
        <v>53</v>
      </c>
      <c r="B58" s="38">
        <f>C58+D58</f>
        <v/>
      </c>
      <c r="C58" s="38">
        <f>H57</f>
        <v/>
      </c>
      <c r="D58" s="38">
        <f>Monthly</f>
        <v/>
      </c>
      <c r="E58" s="38">
        <f>B58*Yield_m</f>
        <v/>
      </c>
      <c r="F58" s="38">
        <f>IF(Reinvest="Sim",E58,0)</f>
        <v/>
      </c>
      <c r="G58" s="38">
        <f>(B58+F58)*Growth_m</f>
        <v/>
      </c>
      <c r="H58" s="38">
        <f>B58+F58+G58</f>
        <v/>
      </c>
      <c r="I58" s="38">
        <f>I57+(E58-F58)</f>
        <v/>
      </c>
      <c r="J58" s="38">
        <f>H58+I58</f>
        <v/>
      </c>
      <c r="K58" s="38">
        <f>(E58-F58)-D58+IF(A58=Horizon,H58,0)</f>
        <v/>
      </c>
    </row>
    <row r="59" ht="16" customHeight="1">
      <c r="A59" s="37" t="n">
        <v>54</v>
      </c>
      <c r="B59" s="38">
        <f>C59+D59</f>
        <v/>
      </c>
      <c r="C59" s="38">
        <f>H58</f>
        <v/>
      </c>
      <c r="D59" s="38">
        <f>Monthly</f>
        <v/>
      </c>
      <c r="E59" s="38">
        <f>B59*Yield_m</f>
        <v/>
      </c>
      <c r="F59" s="38">
        <f>IF(Reinvest="Sim",E59,0)</f>
        <v/>
      </c>
      <c r="G59" s="38">
        <f>(B59+F59)*Growth_m</f>
        <v/>
      </c>
      <c r="H59" s="38">
        <f>B59+F59+G59</f>
        <v/>
      </c>
      <c r="I59" s="38">
        <f>I58+(E59-F59)</f>
        <v/>
      </c>
      <c r="J59" s="38">
        <f>H59+I59</f>
        <v/>
      </c>
      <c r="K59" s="38">
        <f>(E59-F59)-D59+IF(A59=Horizon,H59,0)</f>
        <v/>
      </c>
    </row>
    <row r="60" ht="16" customHeight="1">
      <c r="A60" s="37" t="n">
        <v>55</v>
      </c>
      <c r="B60" s="38">
        <f>C60+D60</f>
        <v/>
      </c>
      <c r="C60" s="38">
        <f>H59</f>
        <v/>
      </c>
      <c r="D60" s="38">
        <f>Monthly</f>
        <v/>
      </c>
      <c r="E60" s="38">
        <f>B60*Yield_m</f>
        <v/>
      </c>
      <c r="F60" s="38">
        <f>IF(Reinvest="Sim",E60,0)</f>
        <v/>
      </c>
      <c r="G60" s="38">
        <f>(B60+F60)*Growth_m</f>
        <v/>
      </c>
      <c r="H60" s="38">
        <f>B60+F60+G60</f>
        <v/>
      </c>
      <c r="I60" s="38">
        <f>I59+(E60-F60)</f>
        <v/>
      </c>
      <c r="J60" s="38">
        <f>H60+I60</f>
        <v/>
      </c>
      <c r="K60" s="38">
        <f>(E60-F60)-D60+IF(A60=Horizon,H60,0)</f>
        <v/>
      </c>
    </row>
    <row r="61" ht="16" customHeight="1">
      <c r="A61" s="37" t="n">
        <v>56</v>
      </c>
      <c r="B61" s="38">
        <f>C61+D61</f>
        <v/>
      </c>
      <c r="C61" s="38">
        <f>H60</f>
        <v/>
      </c>
      <c r="D61" s="38">
        <f>Monthly</f>
        <v/>
      </c>
      <c r="E61" s="38">
        <f>B61*Yield_m</f>
        <v/>
      </c>
      <c r="F61" s="38">
        <f>IF(Reinvest="Sim",E61,0)</f>
        <v/>
      </c>
      <c r="G61" s="38">
        <f>(B61+F61)*Growth_m</f>
        <v/>
      </c>
      <c r="H61" s="38">
        <f>B61+F61+G61</f>
        <v/>
      </c>
      <c r="I61" s="38">
        <f>I60+(E61-F61)</f>
        <v/>
      </c>
      <c r="J61" s="38">
        <f>H61+I61</f>
        <v/>
      </c>
      <c r="K61" s="38">
        <f>(E61-F61)-D61+IF(A61=Horizon,H61,0)</f>
        <v/>
      </c>
    </row>
    <row r="62" ht="16" customHeight="1">
      <c r="A62" s="37" t="n">
        <v>57</v>
      </c>
      <c r="B62" s="38">
        <f>C62+D62</f>
        <v/>
      </c>
      <c r="C62" s="38">
        <f>H61</f>
        <v/>
      </c>
      <c r="D62" s="38">
        <f>Monthly</f>
        <v/>
      </c>
      <c r="E62" s="38">
        <f>B62*Yield_m</f>
        <v/>
      </c>
      <c r="F62" s="38">
        <f>IF(Reinvest="Sim",E62,0)</f>
        <v/>
      </c>
      <c r="G62" s="38">
        <f>(B62+F62)*Growth_m</f>
        <v/>
      </c>
      <c r="H62" s="38">
        <f>B62+F62+G62</f>
        <v/>
      </c>
      <c r="I62" s="38">
        <f>I61+(E62-F62)</f>
        <v/>
      </c>
      <c r="J62" s="38">
        <f>H62+I62</f>
        <v/>
      </c>
      <c r="K62" s="38">
        <f>(E62-F62)-D62+IF(A62=Horizon,H62,0)</f>
        <v/>
      </c>
    </row>
    <row r="63" ht="16" customHeight="1">
      <c r="A63" s="37" t="n">
        <v>58</v>
      </c>
      <c r="B63" s="38">
        <f>C63+D63</f>
        <v/>
      </c>
      <c r="C63" s="38">
        <f>H62</f>
        <v/>
      </c>
      <c r="D63" s="38">
        <f>Monthly</f>
        <v/>
      </c>
      <c r="E63" s="38">
        <f>B63*Yield_m</f>
        <v/>
      </c>
      <c r="F63" s="38">
        <f>IF(Reinvest="Sim",E63,0)</f>
        <v/>
      </c>
      <c r="G63" s="38">
        <f>(B63+F63)*Growth_m</f>
        <v/>
      </c>
      <c r="H63" s="38">
        <f>B63+F63+G63</f>
        <v/>
      </c>
      <c r="I63" s="38">
        <f>I62+(E63-F63)</f>
        <v/>
      </c>
      <c r="J63" s="38">
        <f>H63+I63</f>
        <v/>
      </c>
      <c r="K63" s="38">
        <f>(E63-F63)-D63+IF(A63=Horizon,H63,0)</f>
        <v/>
      </c>
    </row>
    <row r="64" ht="16" customHeight="1">
      <c r="A64" s="37" t="n">
        <v>59</v>
      </c>
      <c r="B64" s="38">
        <f>C64+D64</f>
        <v/>
      </c>
      <c r="C64" s="38">
        <f>H63</f>
        <v/>
      </c>
      <c r="D64" s="38">
        <f>Monthly</f>
        <v/>
      </c>
      <c r="E64" s="38">
        <f>B64*Yield_m</f>
        <v/>
      </c>
      <c r="F64" s="38">
        <f>IF(Reinvest="Sim",E64,0)</f>
        <v/>
      </c>
      <c r="G64" s="38">
        <f>(B64+F64)*Growth_m</f>
        <v/>
      </c>
      <c r="H64" s="38">
        <f>B64+F64+G64</f>
        <v/>
      </c>
      <c r="I64" s="38">
        <f>I63+(E64-F64)</f>
        <v/>
      </c>
      <c r="J64" s="38">
        <f>H64+I64</f>
        <v/>
      </c>
      <c r="K64" s="38">
        <f>(E64-F64)-D64+IF(A64=Horizon,H64,0)</f>
        <v/>
      </c>
    </row>
    <row r="65" ht="16" customHeight="1">
      <c r="A65" s="37" t="n">
        <v>60</v>
      </c>
      <c r="B65" s="38">
        <f>C65+D65</f>
        <v/>
      </c>
      <c r="C65" s="38">
        <f>H64</f>
        <v/>
      </c>
      <c r="D65" s="38">
        <f>Monthly</f>
        <v/>
      </c>
      <c r="E65" s="38">
        <f>B65*Yield_m</f>
        <v/>
      </c>
      <c r="F65" s="38">
        <f>IF(Reinvest="Sim",E65,0)</f>
        <v/>
      </c>
      <c r="G65" s="38">
        <f>(B65+F65)*Growth_m</f>
        <v/>
      </c>
      <c r="H65" s="38">
        <f>B65+F65+G65</f>
        <v/>
      </c>
      <c r="I65" s="38">
        <f>I64+(E65-F65)</f>
        <v/>
      </c>
      <c r="J65" s="38">
        <f>H65+I65</f>
        <v/>
      </c>
      <c r="K65" s="38">
        <f>(E65-F65)-D65+IF(A65=Horizon,H65,0)</f>
        <v/>
      </c>
    </row>
    <row r="66" ht="16" customHeight="1">
      <c r="A66" s="37" t="n">
        <v>61</v>
      </c>
      <c r="B66" s="38">
        <f>C66+D66</f>
        <v/>
      </c>
      <c r="C66" s="38">
        <f>H65</f>
        <v/>
      </c>
      <c r="D66" s="38">
        <f>Monthly</f>
        <v/>
      </c>
      <c r="E66" s="38">
        <f>B66*Yield_m</f>
        <v/>
      </c>
      <c r="F66" s="38">
        <f>IF(Reinvest="Sim",E66,0)</f>
        <v/>
      </c>
      <c r="G66" s="38">
        <f>(B66+F66)*Growth_m</f>
        <v/>
      </c>
      <c r="H66" s="38">
        <f>B66+F66+G66</f>
        <v/>
      </c>
      <c r="I66" s="38">
        <f>I65+(E66-F66)</f>
        <v/>
      </c>
      <c r="J66" s="38">
        <f>H66+I66</f>
        <v/>
      </c>
      <c r="K66" s="38">
        <f>(E66-F66)-D66+IF(A66=Horizon,H66,0)</f>
        <v/>
      </c>
    </row>
    <row r="67" ht="16" customHeight="1">
      <c r="A67" s="37" t="n">
        <v>62</v>
      </c>
      <c r="B67" s="38">
        <f>C67+D67</f>
        <v/>
      </c>
      <c r="C67" s="38">
        <f>H66</f>
        <v/>
      </c>
      <c r="D67" s="38">
        <f>Monthly</f>
        <v/>
      </c>
      <c r="E67" s="38">
        <f>B67*Yield_m</f>
        <v/>
      </c>
      <c r="F67" s="38">
        <f>IF(Reinvest="Sim",E67,0)</f>
        <v/>
      </c>
      <c r="G67" s="38">
        <f>(B67+F67)*Growth_m</f>
        <v/>
      </c>
      <c r="H67" s="38">
        <f>B67+F67+G67</f>
        <v/>
      </c>
      <c r="I67" s="38">
        <f>I66+(E67-F67)</f>
        <v/>
      </c>
      <c r="J67" s="38">
        <f>H67+I67</f>
        <v/>
      </c>
      <c r="K67" s="38">
        <f>(E67-F67)-D67+IF(A67=Horizon,H67,0)</f>
        <v/>
      </c>
    </row>
    <row r="68" ht="16" customHeight="1">
      <c r="A68" s="37" t="n">
        <v>63</v>
      </c>
      <c r="B68" s="38">
        <f>C68+D68</f>
        <v/>
      </c>
      <c r="C68" s="38">
        <f>H67</f>
        <v/>
      </c>
      <c r="D68" s="38">
        <f>Monthly</f>
        <v/>
      </c>
      <c r="E68" s="38">
        <f>B68*Yield_m</f>
        <v/>
      </c>
      <c r="F68" s="38">
        <f>IF(Reinvest="Sim",E68,0)</f>
        <v/>
      </c>
      <c r="G68" s="38">
        <f>(B68+F68)*Growth_m</f>
        <v/>
      </c>
      <c r="H68" s="38">
        <f>B68+F68+G68</f>
        <v/>
      </c>
      <c r="I68" s="38">
        <f>I67+(E68-F68)</f>
        <v/>
      </c>
      <c r="J68" s="38">
        <f>H68+I68</f>
        <v/>
      </c>
      <c r="K68" s="38">
        <f>(E68-F68)-D68+IF(A68=Horizon,H68,0)</f>
        <v/>
      </c>
    </row>
    <row r="69" ht="16" customHeight="1">
      <c r="A69" s="37" t="n">
        <v>64</v>
      </c>
      <c r="B69" s="38">
        <f>C69+D69</f>
        <v/>
      </c>
      <c r="C69" s="38">
        <f>H68</f>
        <v/>
      </c>
      <c r="D69" s="38">
        <f>Monthly</f>
        <v/>
      </c>
      <c r="E69" s="38">
        <f>B69*Yield_m</f>
        <v/>
      </c>
      <c r="F69" s="38">
        <f>IF(Reinvest="Sim",E69,0)</f>
        <v/>
      </c>
      <c r="G69" s="38">
        <f>(B69+F69)*Growth_m</f>
        <v/>
      </c>
      <c r="H69" s="38">
        <f>B69+F69+G69</f>
        <v/>
      </c>
      <c r="I69" s="38">
        <f>I68+(E69-F69)</f>
        <v/>
      </c>
      <c r="J69" s="38">
        <f>H69+I69</f>
        <v/>
      </c>
      <c r="K69" s="38">
        <f>(E69-F69)-D69+IF(A69=Horizon,H69,0)</f>
        <v/>
      </c>
    </row>
    <row r="70" ht="16" customHeight="1">
      <c r="A70" s="37" t="n">
        <v>65</v>
      </c>
      <c r="B70" s="38">
        <f>C70+D70</f>
        <v/>
      </c>
      <c r="C70" s="38">
        <f>H69</f>
        <v/>
      </c>
      <c r="D70" s="38">
        <f>Monthly</f>
        <v/>
      </c>
      <c r="E70" s="38">
        <f>B70*Yield_m</f>
        <v/>
      </c>
      <c r="F70" s="38">
        <f>IF(Reinvest="Sim",E70,0)</f>
        <v/>
      </c>
      <c r="G70" s="38">
        <f>(B70+F70)*Growth_m</f>
        <v/>
      </c>
      <c r="H70" s="38">
        <f>B70+F70+G70</f>
        <v/>
      </c>
      <c r="I70" s="38">
        <f>I69+(E70-F70)</f>
        <v/>
      </c>
      <c r="J70" s="38">
        <f>H70+I70</f>
        <v/>
      </c>
      <c r="K70" s="38">
        <f>(E70-F70)-D70+IF(A70=Horizon,H70,0)</f>
        <v/>
      </c>
    </row>
    <row r="71" ht="16" customHeight="1">
      <c r="A71" s="37" t="n">
        <v>66</v>
      </c>
      <c r="B71" s="38">
        <f>C71+D71</f>
        <v/>
      </c>
      <c r="C71" s="38">
        <f>H70</f>
        <v/>
      </c>
      <c r="D71" s="38">
        <f>Monthly</f>
        <v/>
      </c>
      <c r="E71" s="38">
        <f>B71*Yield_m</f>
        <v/>
      </c>
      <c r="F71" s="38">
        <f>IF(Reinvest="Sim",E71,0)</f>
        <v/>
      </c>
      <c r="G71" s="38">
        <f>(B71+F71)*Growth_m</f>
        <v/>
      </c>
      <c r="H71" s="38">
        <f>B71+F71+G71</f>
        <v/>
      </c>
      <c r="I71" s="38">
        <f>I70+(E71-F71)</f>
        <v/>
      </c>
      <c r="J71" s="38">
        <f>H71+I71</f>
        <v/>
      </c>
      <c r="K71" s="38">
        <f>(E71-F71)-D71+IF(A71=Horizon,H71,0)</f>
        <v/>
      </c>
    </row>
    <row r="72" ht="16" customHeight="1">
      <c r="A72" s="37" t="n">
        <v>67</v>
      </c>
      <c r="B72" s="38">
        <f>C72+D72</f>
        <v/>
      </c>
      <c r="C72" s="38">
        <f>H71</f>
        <v/>
      </c>
      <c r="D72" s="38">
        <f>Monthly</f>
        <v/>
      </c>
      <c r="E72" s="38">
        <f>B72*Yield_m</f>
        <v/>
      </c>
      <c r="F72" s="38">
        <f>IF(Reinvest="Sim",E72,0)</f>
        <v/>
      </c>
      <c r="G72" s="38">
        <f>(B72+F72)*Growth_m</f>
        <v/>
      </c>
      <c r="H72" s="38">
        <f>B72+F72+G72</f>
        <v/>
      </c>
      <c r="I72" s="38">
        <f>I71+(E72-F72)</f>
        <v/>
      </c>
      <c r="J72" s="38">
        <f>H72+I72</f>
        <v/>
      </c>
      <c r="K72" s="38">
        <f>(E72-F72)-D72+IF(A72=Horizon,H72,0)</f>
        <v/>
      </c>
    </row>
    <row r="73" ht="16" customHeight="1">
      <c r="A73" s="37" t="n">
        <v>68</v>
      </c>
      <c r="B73" s="38">
        <f>C73+D73</f>
        <v/>
      </c>
      <c r="C73" s="38">
        <f>H72</f>
        <v/>
      </c>
      <c r="D73" s="38">
        <f>Monthly</f>
        <v/>
      </c>
      <c r="E73" s="38">
        <f>B73*Yield_m</f>
        <v/>
      </c>
      <c r="F73" s="38">
        <f>IF(Reinvest="Sim",E73,0)</f>
        <v/>
      </c>
      <c r="G73" s="38">
        <f>(B73+F73)*Growth_m</f>
        <v/>
      </c>
      <c r="H73" s="38">
        <f>B73+F73+G73</f>
        <v/>
      </c>
      <c r="I73" s="38">
        <f>I72+(E73-F73)</f>
        <v/>
      </c>
      <c r="J73" s="38">
        <f>H73+I73</f>
        <v/>
      </c>
      <c r="K73" s="38">
        <f>(E73-F73)-D73+IF(A73=Horizon,H73,0)</f>
        <v/>
      </c>
    </row>
    <row r="74" ht="16" customHeight="1">
      <c r="A74" s="37" t="n">
        <v>69</v>
      </c>
      <c r="B74" s="38">
        <f>C74+D74</f>
        <v/>
      </c>
      <c r="C74" s="38">
        <f>H73</f>
        <v/>
      </c>
      <c r="D74" s="38">
        <f>Monthly</f>
        <v/>
      </c>
      <c r="E74" s="38">
        <f>B74*Yield_m</f>
        <v/>
      </c>
      <c r="F74" s="38">
        <f>IF(Reinvest="Sim",E74,0)</f>
        <v/>
      </c>
      <c r="G74" s="38">
        <f>(B74+F74)*Growth_m</f>
        <v/>
      </c>
      <c r="H74" s="38">
        <f>B74+F74+G74</f>
        <v/>
      </c>
      <c r="I74" s="38">
        <f>I73+(E74-F74)</f>
        <v/>
      </c>
      <c r="J74" s="38">
        <f>H74+I74</f>
        <v/>
      </c>
      <c r="K74" s="38">
        <f>(E74-F74)-D74+IF(A74=Horizon,H74,0)</f>
        <v/>
      </c>
    </row>
    <row r="75" ht="16" customHeight="1">
      <c r="A75" s="37" t="n">
        <v>70</v>
      </c>
      <c r="B75" s="38">
        <f>C75+D75</f>
        <v/>
      </c>
      <c r="C75" s="38">
        <f>H74</f>
        <v/>
      </c>
      <c r="D75" s="38">
        <f>Monthly</f>
        <v/>
      </c>
      <c r="E75" s="38">
        <f>B75*Yield_m</f>
        <v/>
      </c>
      <c r="F75" s="38">
        <f>IF(Reinvest="Sim",E75,0)</f>
        <v/>
      </c>
      <c r="G75" s="38">
        <f>(B75+F75)*Growth_m</f>
        <v/>
      </c>
      <c r="H75" s="38">
        <f>B75+F75+G75</f>
        <v/>
      </c>
      <c r="I75" s="38">
        <f>I74+(E75-F75)</f>
        <v/>
      </c>
      <c r="J75" s="38">
        <f>H75+I75</f>
        <v/>
      </c>
      <c r="K75" s="38">
        <f>(E75-F75)-D75+IF(A75=Horizon,H75,0)</f>
        <v/>
      </c>
    </row>
    <row r="76" ht="16" customHeight="1">
      <c r="A76" s="37" t="n">
        <v>71</v>
      </c>
      <c r="B76" s="38">
        <f>C76+D76</f>
        <v/>
      </c>
      <c r="C76" s="38">
        <f>H75</f>
        <v/>
      </c>
      <c r="D76" s="38">
        <f>Monthly</f>
        <v/>
      </c>
      <c r="E76" s="38">
        <f>B76*Yield_m</f>
        <v/>
      </c>
      <c r="F76" s="38">
        <f>IF(Reinvest="Sim",E76,0)</f>
        <v/>
      </c>
      <c r="G76" s="38">
        <f>(B76+F76)*Growth_m</f>
        <v/>
      </c>
      <c r="H76" s="38">
        <f>B76+F76+G76</f>
        <v/>
      </c>
      <c r="I76" s="38">
        <f>I75+(E76-F76)</f>
        <v/>
      </c>
      <c r="J76" s="38">
        <f>H76+I76</f>
        <v/>
      </c>
      <c r="K76" s="38">
        <f>(E76-F76)-D76+IF(A76=Horizon,H76,0)</f>
        <v/>
      </c>
    </row>
    <row r="77" ht="16" customHeight="1">
      <c r="A77" s="37" t="n">
        <v>72</v>
      </c>
      <c r="B77" s="38">
        <f>C77+D77</f>
        <v/>
      </c>
      <c r="C77" s="38">
        <f>H76</f>
        <v/>
      </c>
      <c r="D77" s="38">
        <f>Monthly</f>
        <v/>
      </c>
      <c r="E77" s="38">
        <f>B77*Yield_m</f>
        <v/>
      </c>
      <c r="F77" s="38">
        <f>IF(Reinvest="Sim",E77,0)</f>
        <v/>
      </c>
      <c r="G77" s="38">
        <f>(B77+F77)*Growth_m</f>
        <v/>
      </c>
      <c r="H77" s="38">
        <f>B77+F77+G77</f>
        <v/>
      </c>
      <c r="I77" s="38">
        <f>I76+(E77-F77)</f>
        <v/>
      </c>
      <c r="J77" s="38">
        <f>H77+I77</f>
        <v/>
      </c>
      <c r="K77" s="38">
        <f>(E77-F77)-D77+IF(A77=Horizon,H77,0)</f>
        <v/>
      </c>
    </row>
    <row r="78" ht="16" customHeight="1">
      <c r="A78" s="37" t="n">
        <v>73</v>
      </c>
      <c r="B78" s="38">
        <f>C78+D78</f>
        <v/>
      </c>
      <c r="C78" s="38">
        <f>H77</f>
        <v/>
      </c>
      <c r="D78" s="38">
        <f>Monthly</f>
        <v/>
      </c>
      <c r="E78" s="38">
        <f>B78*Yield_m</f>
        <v/>
      </c>
      <c r="F78" s="38">
        <f>IF(Reinvest="Sim",E78,0)</f>
        <v/>
      </c>
      <c r="G78" s="38">
        <f>(B78+F78)*Growth_m</f>
        <v/>
      </c>
      <c r="H78" s="38">
        <f>B78+F78+G78</f>
        <v/>
      </c>
      <c r="I78" s="38">
        <f>I77+(E78-F78)</f>
        <v/>
      </c>
      <c r="J78" s="38">
        <f>H78+I78</f>
        <v/>
      </c>
      <c r="K78" s="38">
        <f>(E78-F78)-D78+IF(A78=Horizon,H78,0)</f>
        <v/>
      </c>
    </row>
    <row r="79" ht="16" customHeight="1">
      <c r="A79" s="37" t="n">
        <v>74</v>
      </c>
      <c r="B79" s="38">
        <f>C79+D79</f>
        <v/>
      </c>
      <c r="C79" s="38">
        <f>H78</f>
        <v/>
      </c>
      <c r="D79" s="38">
        <f>Monthly</f>
        <v/>
      </c>
      <c r="E79" s="38">
        <f>B79*Yield_m</f>
        <v/>
      </c>
      <c r="F79" s="38">
        <f>IF(Reinvest="Sim",E79,0)</f>
        <v/>
      </c>
      <c r="G79" s="38">
        <f>(B79+F79)*Growth_m</f>
        <v/>
      </c>
      <c r="H79" s="38">
        <f>B79+F79+G79</f>
        <v/>
      </c>
      <c r="I79" s="38">
        <f>I78+(E79-F79)</f>
        <v/>
      </c>
      <c r="J79" s="38">
        <f>H79+I79</f>
        <v/>
      </c>
      <c r="K79" s="38">
        <f>(E79-F79)-D79+IF(A79=Horizon,H79,0)</f>
        <v/>
      </c>
    </row>
    <row r="80" ht="16" customHeight="1">
      <c r="A80" s="37" t="n">
        <v>75</v>
      </c>
      <c r="B80" s="38">
        <f>C80+D80</f>
        <v/>
      </c>
      <c r="C80" s="38">
        <f>H79</f>
        <v/>
      </c>
      <c r="D80" s="38">
        <f>Monthly</f>
        <v/>
      </c>
      <c r="E80" s="38">
        <f>B80*Yield_m</f>
        <v/>
      </c>
      <c r="F80" s="38">
        <f>IF(Reinvest="Sim",E80,0)</f>
        <v/>
      </c>
      <c r="G80" s="38">
        <f>(B80+F80)*Growth_m</f>
        <v/>
      </c>
      <c r="H80" s="38">
        <f>B80+F80+G80</f>
        <v/>
      </c>
      <c r="I80" s="38">
        <f>I79+(E80-F80)</f>
        <v/>
      </c>
      <c r="J80" s="38">
        <f>H80+I80</f>
        <v/>
      </c>
      <c r="K80" s="38">
        <f>(E80-F80)-D80+IF(A80=Horizon,H80,0)</f>
        <v/>
      </c>
    </row>
    <row r="81" ht="16" customHeight="1">
      <c r="A81" s="37" t="n">
        <v>76</v>
      </c>
      <c r="B81" s="38">
        <f>C81+D81</f>
        <v/>
      </c>
      <c r="C81" s="38">
        <f>H80</f>
        <v/>
      </c>
      <c r="D81" s="38">
        <f>Monthly</f>
        <v/>
      </c>
      <c r="E81" s="38">
        <f>B81*Yield_m</f>
        <v/>
      </c>
      <c r="F81" s="38">
        <f>IF(Reinvest="Sim",E81,0)</f>
        <v/>
      </c>
      <c r="G81" s="38">
        <f>(B81+F81)*Growth_m</f>
        <v/>
      </c>
      <c r="H81" s="38">
        <f>B81+F81+G81</f>
        <v/>
      </c>
      <c r="I81" s="38">
        <f>I80+(E81-F81)</f>
        <v/>
      </c>
      <c r="J81" s="38">
        <f>H81+I81</f>
        <v/>
      </c>
      <c r="K81" s="38">
        <f>(E81-F81)-D81+IF(A81=Horizon,H81,0)</f>
        <v/>
      </c>
    </row>
    <row r="82" ht="16" customHeight="1">
      <c r="A82" s="37" t="n">
        <v>77</v>
      </c>
      <c r="B82" s="38">
        <f>C82+D82</f>
        <v/>
      </c>
      <c r="C82" s="38">
        <f>H81</f>
        <v/>
      </c>
      <c r="D82" s="38">
        <f>Monthly</f>
        <v/>
      </c>
      <c r="E82" s="38">
        <f>B82*Yield_m</f>
        <v/>
      </c>
      <c r="F82" s="38">
        <f>IF(Reinvest="Sim",E82,0)</f>
        <v/>
      </c>
      <c r="G82" s="38">
        <f>(B82+F82)*Growth_m</f>
        <v/>
      </c>
      <c r="H82" s="38">
        <f>B82+F82+G82</f>
        <v/>
      </c>
      <c r="I82" s="38">
        <f>I81+(E82-F82)</f>
        <v/>
      </c>
      <c r="J82" s="38">
        <f>H82+I82</f>
        <v/>
      </c>
      <c r="K82" s="38">
        <f>(E82-F82)-D82+IF(A82=Horizon,H82,0)</f>
        <v/>
      </c>
    </row>
    <row r="83" ht="16" customHeight="1">
      <c r="A83" s="37" t="n">
        <v>78</v>
      </c>
      <c r="B83" s="38">
        <f>C83+D83</f>
        <v/>
      </c>
      <c r="C83" s="38">
        <f>H82</f>
        <v/>
      </c>
      <c r="D83" s="38">
        <f>Monthly</f>
        <v/>
      </c>
      <c r="E83" s="38">
        <f>B83*Yield_m</f>
        <v/>
      </c>
      <c r="F83" s="38">
        <f>IF(Reinvest="Sim",E83,0)</f>
        <v/>
      </c>
      <c r="G83" s="38">
        <f>(B83+F83)*Growth_m</f>
        <v/>
      </c>
      <c r="H83" s="38">
        <f>B83+F83+G83</f>
        <v/>
      </c>
      <c r="I83" s="38">
        <f>I82+(E83-F83)</f>
        <v/>
      </c>
      <c r="J83" s="38">
        <f>H83+I83</f>
        <v/>
      </c>
      <c r="K83" s="38">
        <f>(E83-F83)-D83+IF(A83=Horizon,H83,0)</f>
        <v/>
      </c>
    </row>
    <row r="84" ht="16" customHeight="1">
      <c r="A84" s="37" t="n">
        <v>79</v>
      </c>
      <c r="B84" s="38">
        <f>C84+D84</f>
        <v/>
      </c>
      <c r="C84" s="38">
        <f>H83</f>
        <v/>
      </c>
      <c r="D84" s="38">
        <f>Monthly</f>
        <v/>
      </c>
      <c r="E84" s="38">
        <f>B84*Yield_m</f>
        <v/>
      </c>
      <c r="F84" s="38">
        <f>IF(Reinvest="Sim",E84,0)</f>
        <v/>
      </c>
      <c r="G84" s="38">
        <f>(B84+F84)*Growth_m</f>
        <v/>
      </c>
      <c r="H84" s="38">
        <f>B84+F84+G84</f>
        <v/>
      </c>
      <c r="I84" s="38">
        <f>I83+(E84-F84)</f>
        <v/>
      </c>
      <c r="J84" s="38">
        <f>H84+I84</f>
        <v/>
      </c>
      <c r="K84" s="38">
        <f>(E84-F84)-D84+IF(A84=Horizon,H84,0)</f>
        <v/>
      </c>
    </row>
    <row r="85" ht="16" customHeight="1">
      <c r="A85" s="37" t="n">
        <v>80</v>
      </c>
      <c r="B85" s="38">
        <f>C85+D85</f>
        <v/>
      </c>
      <c r="C85" s="38">
        <f>H84</f>
        <v/>
      </c>
      <c r="D85" s="38">
        <f>Monthly</f>
        <v/>
      </c>
      <c r="E85" s="38">
        <f>B85*Yield_m</f>
        <v/>
      </c>
      <c r="F85" s="38">
        <f>IF(Reinvest="Sim",E85,0)</f>
        <v/>
      </c>
      <c r="G85" s="38">
        <f>(B85+F85)*Growth_m</f>
        <v/>
      </c>
      <c r="H85" s="38">
        <f>B85+F85+G85</f>
        <v/>
      </c>
      <c r="I85" s="38">
        <f>I84+(E85-F85)</f>
        <v/>
      </c>
      <c r="J85" s="38">
        <f>H85+I85</f>
        <v/>
      </c>
      <c r="K85" s="38">
        <f>(E85-F85)-D85+IF(A85=Horizon,H85,0)</f>
        <v/>
      </c>
    </row>
    <row r="86" ht="16" customHeight="1">
      <c r="A86" s="37" t="n">
        <v>81</v>
      </c>
      <c r="B86" s="38">
        <f>C86+D86</f>
        <v/>
      </c>
      <c r="C86" s="38">
        <f>H85</f>
        <v/>
      </c>
      <c r="D86" s="38">
        <f>Monthly</f>
        <v/>
      </c>
      <c r="E86" s="38">
        <f>B86*Yield_m</f>
        <v/>
      </c>
      <c r="F86" s="38">
        <f>IF(Reinvest="Sim",E86,0)</f>
        <v/>
      </c>
      <c r="G86" s="38">
        <f>(B86+F86)*Growth_m</f>
        <v/>
      </c>
      <c r="H86" s="38">
        <f>B86+F86+G86</f>
        <v/>
      </c>
      <c r="I86" s="38">
        <f>I85+(E86-F86)</f>
        <v/>
      </c>
      <c r="J86" s="38">
        <f>H86+I86</f>
        <v/>
      </c>
      <c r="K86" s="38">
        <f>(E86-F86)-D86+IF(A86=Horizon,H86,0)</f>
        <v/>
      </c>
    </row>
    <row r="87" ht="16" customHeight="1">
      <c r="A87" s="37" t="n">
        <v>82</v>
      </c>
      <c r="B87" s="38">
        <f>C87+D87</f>
        <v/>
      </c>
      <c r="C87" s="38">
        <f>H86</f>
        <v/>
      </c>
      <c r="D87" s="38">
        <f>Monthly</f>
        <v/>
      </c>
      <c r="E87" s="38">
        <f>B87*Yield_m</f>
        <v/>
      </c>
      <c r="F87" s="38">
        <f>IF(Reinvest="Sim",E87,0)</f>
        <v/>
      </c>
      <c r="G87" s="38">
        <f>(B87+F87)*Growth_m</f>
        <v/>
      </c>
      <c r="H87" s="38">
        <f>B87+F87+G87</f>
        <v/>
      </c>
      <c r="I87" s="38">
        <f>I86+(E87-F87)</f>
        <v/>
      </c>
      <c r="J87" s="38">
        <f>H87+I87</f>
        <v/>
      </c>
      <c r="K87" s="38">
        <f>(E87-F87)-D87+IF(A87=Horizon,H87,0)</f>
        <v/>
      </c>
    </row>
    <row r="88" ht="16" customHeight="1">
      <c r="A88" s="37" t="n">
        <v>83</v>
      </c>
      <c r="B88" s="38">
        <f>C88+D88</f>
        <v/>
      </c>
      <c r="C88" s="38">
        <f>H87</f>
        <v/>
      </c>
      <c r="D88" s="38">
        <f>Monthly</f>
        <v/>
      </c>
      <c r="E88" s="38">
        <f>B88*Yield_m</f>
        <v/>
      </c>
      <c r="F88" s="38">
        <f>IF(Reinvest="Sim",E88,0)</f>
        <v/>
      </c>
      <c r="G88" s="38">
        <f>(B88+F88)*Growth_m</f>
        <v/>
      </c>
      <c r="H88" s="38">
        <f>B88+F88+G88</f>
        <v/>
      </c>
      <c r="I88" s="38">
        <f>I87+(E88-F88)</f>
        <v/>
      </c>
      <c r="J88" s="38">
        <f>H88+I88</f>
        <v/>
      </c>
      <c r="K88" s="38">
        <f>(E88-F88)-D88+IF(A88=Horizon,H88,0)</f>
        <v/>
      </c>
    </row>
    <row r="89" ht="16" customHeight="1">
      <c r="A89" s="37" t="n">
        <v>84</v>
      </c>
      <c r="B89" s="38">
        <f>C89+D89</f>
        <v/>
      </c>
      <c r="C89" s="38">
        <f>H88</f>
        <v/>
      </c>
      <c r="D89" s="38">
        <f>Monthly</f>
        <v/>
      </c>
      <c r="E89" s="38">
        <f>B89*Yield_m</f>
        <v/>
      </c>
      <c r="F89" s="38">
        <f>IF(Reinvest="Sim",E89,0)</f>
        <v/>
      </c>
      <c r="G89" s="38">
        <f>(B89+F89)*Growth_m</f>
        <v/>
      </c>
      <c r="H89" s="38">
        <f>B89+F89+G89</f>
        <v/>
      </c>
      <c r="I89" s="38">
        <f>I88+(E89-F89)</f>
        <v/>
      </c>
      <c r="J89" s="38">
        <f>H89+I89</f>
        <v/>
      </c>
      <c r="K89" s="38">
        <f>(E89-F89)-D89+IF(A89=Horizon,H89,0)</f>
        <v/>
      </c>
    </row>
    <row r="90" ht="16" customHeight="1">
      <c r="A90" s="37" t="n">
        <v>85</v>
      </c>
      <c r="B90" s="38">
        <f>C90+D90</f>
        <v/>
      </c>
      <c r="C90" s="38">
        <f>H89</f>
        <v/>
      </c>
      <c r="D90" s="38">
        <f>Monthly</f>
        <v/>
      </c>
      <c r="E90" s="38">
        <f>B90*Yield_m</f>
        <v/>
      </c>
      <c r="F90" s="38">
        <f>IF(Reinvest="Sim",E90,0)</f>
        <v/>
      </c>
      <c r="G90" s="38">
        <f>(B90+F90)*Growth_m</f>
        <v/>
      </c>
      <c r="H90" s="38">
        <f>B90+F90+G90</f>
        <v/>
      </c>
      <c r="I90" s="38">
        <f>I89+(E90-F90)</f>
        <v/>
      </c>
      <c r="J90" s="38">
        <f>H90+I90</f>
        <v/>
      </c>
      <c r="K90" s="38">
        <f>(E90-F90)-D90+IF(A90=Horizon,H90,0)</f>
        <v/>
      </c>
    </row>
    <row r="91" ht="16" customHeight="1">
      <c r="A91" s="37" t="n">
        <v>86</v>
      </c>
      <c r="B91" s="38">
        <f>C91+D91</f>
        <v/>
      </c>
      <c r="C91" s="38">
        <f>H90</f>
        <v/>
      </c>
      <c r="D91" s="38">
        <f>Monthly</f>
        <v/>
      </c>
      <c r="E91" s="38">
        <f>B91*Yield_m</f>
        <v/>
      </c>
      <c r="F91" s="38">
        <f>IF(Reinvest="Sim",E91,0)</f>
        <v/>
      </c>
      <c r="G91" s="38">
        <f>(B91+F91)*Growth_m</f>
        <v/>
      </c>
      <c r="H91" s="38">
        <f>B91+F91+G91</f>
        <v/>
      </c>
      <c r="I91" s="38">
        <f>I90+(E91-F91)</f>
        <v/>
      </c>
      <c r="J91" s="38">
        <f>H91+I91</f>
        <v/>
      </c>
      <c r="K91" s="38">
        <f>(E91-F91)-D91+IF(A91=Horizon,H91,0)</f>
        <v/>
      </c>
    </row>
    <row r="92" ht="16" customHeight="1">
      <c r="A92" s="37" t="n">
        <v>87</v>
      </c>
      <c r="B92" s="38">
        <f>C92+D92</f>
        <v/>
      </c>
      <c r="C92" s="38">
        <f>H91</f>
        <v/>
      </c>
      <c r="D92" s="38">
        <f>Monthly</f>
        <v/>
      </c>
      <c r="E92" s="38">
        <f>B92*Yield_m</f>
        <v/>
      </c>
      <c r="F92" s="38">
        <f>IF(Reinvest="Sim",E92,0)</f>
        <v/>
      </c>
      <c r="G92" s="38">
        <f>(B92+F92)*Growth_m</f>
        <v/>
      </c>
      <c r="H92" s="38">
        <f>B92+F92+G92</f>
        <v/>
      </c>
      <c r="I92" s="38">
        <f>I91+(E92-F92)</f>
        <v/>
      </c>
      <c r="J92" s="38">
        <f>H92+I92</f>
        <v/>
      </c>
      <c r="K92" s="38">
        <f>(E92-F92)-D92+IF(A92=Horizon,H92,0)</f>
        <v/>
      </c>
    </row>
    <row r="93" ht="16" customHeight="1">
      <c r="A93" s="37" t="n">
        <v>88</v>
      </c>
      <c r="B93" s="38">
        <f>C93+D93</f>
        <v/>
      </c>
      <c r="C93" s="38">
        <f>H92</f>
        <v/>
      </c>
      <c r="D93" s="38">
        <f>Monthly</f>
        <v/>
      </c>
      <c r="E93" s="38">
        <f>B93*Yield_m</f>
        <v/>
      </c>
      <c r="F93" s="38">
        <f>IF(Reinvest="Sim",E93,0)</f>
        <v/>
      </c>
      <c r="G93" s="38">
        <f>(B93+F93)*Growth_m</f>
        <v/>
      </c>
      <c r="H93" s="38">
        <f>B93+F93+G93</f>
        <v/>
      </c>
      <c r="I93" s="38">
        <f>I92+(E93-F93)</f>
        <v/>
      </c>
      <c r="J93" s="38">
        <f>H93+I93</f>
        <v/>
      </c>
      <c r="K93" s="38">
        <f>(E93-F93)-D93+IF(A93=Horizon,H93,0)</f>
        <v/>
      </c>
    </row>
    <row r="94" ht="16" customHeight="1">
      <c r="A94" s="37" t="n">
        <v>89</v>
      </c>
      <c r="B94" s="38">
        <f>C94+D94</f>
        <v/>
      </c>
      <c r="C94" s="38">
        <f>H93</f>
        <v/>
      </c>
      <c r="D94" s="38">
        <f>Monthly</f>
        <v/>
      </c>
      <c r="E94" s="38">
        <f>B94*Yield_m</f>
        <v/>
      </c>
      <c r="F94" s="38">
        <f>IF(Reinvest="Sim",E94,0)</f>
        <v/>
      </c>
      <c r="G94" s="38">
        <f>(B94+F94)*Growth_m</f>
        <v/>
      </c>
      <c r="H94" s="38">
        <f>B94+F94+G94</f>
        <v/>
      </c>
      <c r="I94" s="38">
        <f>I93+(E94-F94)</f>
        <v/>
      </c>
      <c r="J94" s="38">
        <f>H94+I94</f>
        <v/>
      </c>
      <c r="K94" s="38">
        <f>(E94-F94)-D94+IF(A94=Horizon,H94,0)</f>
        <v/>
      </c>
    </row>
    <row r="95" ht="16" customHeight="1">
      <c r="A95" s="37" t="n">
        <v>90</v>
      </c>
      <c r="B95" s="38">
        <f>C95+D95</f>
        <v/>
      </c>
      <c r="C95" s="38">
        <f>H94</f>
        <v/>
      </c>
      <c r="D95" s="38">
        <f>Monthly</f>
        <v/>
      </c>
      <c r="E95" s="38">
        <f>B95*Yield_m</f>
        <v/>
      </c>
      <c r="F95" s="38">
        <f>IF(Reinvest="Sim",E95,0)</f>
        <v/>
      </c>
      <c r="G95" s="38">
        <f>(B95+F95)*Growth_m</f>
        <v/>
      </c>
      <c r="H95" s="38">
        <f>B95+F95+G95</f>
        <v/>
      </c>
      <c r="I95" s="38">
        <f>I94+(E95-F95)</f>
        <v/>
      </c>
      <c r="J95" s="38">
        <f>H95+I95</f>
        <v/>
      </c>
      <c r="K95" s="38">
        <f>(E95-F95)-D95+IF(A95=Horizon,H95,0)</f>
        <v/>
      </c>
    </row>
    <row r="96" ht="16" customHeight="1">
      <c r="A96" s="37" t="n">
        <v>91</v>
      </c>
      <c r="B96" s="38">
        <f>C96+D96</f>
        <v/>
      </c>
      <c r="C96" s="38">
        <f>H95</f>
        <v/>
      </c>
      <c r="D96" s="38">
        <f>Monthly</f>
        <v/>
      </c>
      <c r="E96" s="38">
        <f>B96*Yield_m</f>
        <v/>
      </c>
      <c r="F96" s="38">
        <f>IF(Reinvest="Sim",E96,0)</f>
        <v/>
      </c>
      <c r="G96" s="38">
        <f>(B96+F96)*Growth_m</f>
        <v/>
      </c>
      <c r="H96" s="38">
        <f>B96+F96+G96</f>
        <v/>
      </c>
      <c r="I96" s="38">
        <f>I95+(E96-F96)</f>
        <v/>
      </c>
      <c r="J96" s="38">
        <f>H96+I96</f>
        <v/>
      </c>
      <c r="K96" s="38">
        <f>(E96-F96)-D96+IF(A96=Horizon,H96,0)</f>
        <v/>
      </c>
    </row>
    <row r="97" ht="16" customHeight="1">
      <c r="A97" s="37" t="n">
        <v>92</v>
      </c>
      <c r="B97" s="38">
        <f>C97+D97</f>
        <v/>
      </c>
      <c r="C97" s="38">
        <f>H96</f>
        <v/>
      </c>
      <c r="D97" s="38">
        <f>Monthly</f>
        <v/>
      </c>
      <c r="E97" s="38">
        <f>B97*Yield_m</f>
        <v/>
      </c>
      <c r="F97" s="38">
        <f>IF(Reinvest="Sim",E97,0)</f>
        <v/>
      </c>
      <c r="G97" s="38">
        <f>(B97+F97)*Growth_m</f>
        <v/>
      </c>
      <c r="H97" s="38">
        <f>B97+F97+G97</f>
        <v/>
      </c>
      <c r="I97" s="38">
        <f>I96+(E97-F97)</f>
        <v/>
      </c>
      <c r="J97" s="38">
        <f>H97+I97</f>
        <v/>
      </c>
      <c r="K97" s="38">
        <f>(E97-F97)-D97+IF(A97=Horizon,H97,0)</f>
        <v/>
      </c>
    </row>
    <row r="98" ht="16" customHeight="1">
      <c r="A98" s="37" t="n">
        <v>93</v>
      </c>
      <c r="B98" s="38">
        <f>C98+D98</f>
        <v/>
      </c>
      <c r="C98" s="38">
        <f>H97</f>
        <v/>
      </c>
      <c r="D98" s="38">
        <f>Monthly</f>
        <v/>
      </c>
      <c r="E98" s="38">
        <f>B98*Yield_m</f>
        <v/>
      </c>
      <c r="F98" s="38">
        <f>IF(Reinvest="Sim",E98,0)</f>
        <v/>
      </c>
      <c r="G98" s="38">
        <f>(B98+F98)*Growth_m</f>
        <v/>
      </c>
      <c r="H98" s="38">
        <f>B98+F98+G98</f>
        <v/>
      </c>
      <c r="I98" s="38">
        <f>I97+(E98-F98)</f>
        <v/>
      </c>
      <c r="J98" s="38">
        <f>H98+I98</f>
        <v/>
      </c>
      <c r="K98" s="38">
        <f>(E98-F98)-D98+IF(A98=Horizon,H98,0)</f>
        <v/>
      </c>
    </row>
    <row r="99" ht="16" customHeight="1">
      <c r="A99" s="37" t="n">
        <v>94</v>
      </c>
      <c r="B99" s="38">
        <f>C99+D99</f>
        <v/>
      </c>
      <c r="C99" s="38">
        <f>H98</f>
        <v/>
      </c>
      <c r="D99" s="38">
        <f>Monthly</f>
        <v/>
      </c>
      <c r="E99" s="38">
        <f>B99*Yield_m</f>
        <v/>
      </c>
      <c r="F99" s="38">
        <f>IF(Reinvest="Sim",E99,0)</f>
        <v/>
      </c>
      <c r="G99" s="38">
        <f>(B99+F99)*Growth_m</f>
        <v/>
      </c>
      <c r="H99" s="38">
        <f>B99+F99+G99</f>
        <v/>
      </c>
      <c r="I99" s="38">
        <f>I98+(E99-F99)</f>
        <v/>
      </c>
      <c r="J99" s="38">
        <f>H99+I99</f>
        <v/>
      </c>
      <c r="K99" s="38">
        <f>(E99-F99)-D99+IF(A99=Horizon,H99,0)</f>
        <v/>
      </c>
    </row>
    <row r="100" ht="16" customHeight="1">
      <c r="A100" s="37" t="n">
        <v>95</v>
      </c>
      <c r="B100" s="38">
        <f>C100+D100</f>
        <v/>
      </c>
      <c r="C100" s="38">
        <f>H99</f>
        <v/>
      </c>
      <c r="D100" s="38">
        <f>Monthly</f>
        <v/>
      </c>
      <c r="E100" s="38">
        <f>B100*Yield_m</f>
        <v/>
      </c>
      <c r="F100" s="38">
        <f>IF(Reinvest="Sim",E100,0)</f>
        <v/>
      </c>
      <c r="G100" s="38">
        <f>(B100+F100)*Growth_m</f>
        <v/>
      </c>
      <c r="H100" s="38">
        <f>B100+F100+G100</f>
        <v/>
      </c>
      <c r="I100" s="38">
        <f>I99+(E100-F100)</f>
        <v/>
      </c>
      <c r="J100" s="38">
        <f>H100+I100</f>
        <v/>
      </c>
      <c r="K100" s="38">
        <f>(E100-F100)-D100+IF(A100=Horizon,H100,0)</f>
        <v/>
      </c>
    </row>
    <row r="101" ht="16" customHeight="1">
      <c r="A101" s="37" t="n">
        <v>96</v>
      </c>
      <c r="B101" s="38">
        <f>C101+D101</f>
        <v/>
      </c>
      <c r="C101" s="38">
        <f>H100</f>
        <v/>
      </c>
      <c r="D101" s="38">
        <f>Monthly</f>
        <v/>
      </c>
      <c r="E101" s="38">
        <f>B101*Yield_m</f>
        <v/>
      </c>
      <c r="F101" s="38">
        <f>IF(Reinvest="Sim",E101,0)</f>
        <v/>
      </c>
      <c r="G101" s="38">
        <f>(B101+F101)*Growth_m</f>
        <v/>
      </c>
      <c r="H101" s="38">
        <f>B101+F101+G101</f>
        <v/>
      </c>
      <c r="I101" s="38">
        <f>I100+(E101-F101)</f>
        <v/>
      </c>
      <c r="J101" s="38">
        <f>H101+I101</f>
        <v/>
      </c>
      <c r="K101" s="38">
        <f>(E101-F101)-D101+IF(A101=Horizon,H101,0)</f>
        <v/>
      </c>
    </row>
    <row r="102" ht="16" customHeight="1">
      <c r="A102" s="37" t="n">
        <v>97</v>
      </c>
      <c r="B102" s="38">
        <f>C102+D102</f>
        <v/>
      </c>
      <c r="C102" s="38">
        <f>H101</f>
        <v/>
      </c>
      <c r="D102" s="38">
        <f>Monthly</f>
        <v/>
      </c>
      <c r="E102" s="38">
        <f>B102*Yield_m</f>
        <v/>
      </c>
      <c r="F102" s="38">
        <f>IF(Reinvest="Sim",E102,0)</f>
        <v/>
      </c>
      <c r="G102" s="38">
        <f>(B102+F102)*Growth_m</f>
        <v/>
      </c>
      <c r="H102" s="38">
        <f>B102+F102+G102</f>
        <v/>
      </c>
      <c r="I102" s="38">
        <f>I101+(E102-F102)</f>
        <v/>
      </c>
      <c r="J102" s="38">
        <f>H102+I102</f>
        <v/>
      </c>
      <c r="K102" s="38">
        <f>(E102-F102)-D102+IF(A102=Horizon,H102,0)</f>
        <v/>
      </c>
    </row>
    <row r="103" ht="16" customHeight="1">
      <c r="A103" s="37" t="n">
        <v>98</v>
      </c>
      <c r="B103" s="38">
        <f>C103+D103</f>
        <v/>
      </c>
      <c r="C103" s="38">
        <f>H102</f>
        <v/>
      </c>
      <c r="D103" s="38">
        <f>Monthly</f>
        <v/>
      </c>
      <c r="E103" s="38">
        <f>B103*Yield_m</f>
        <v/>
      </c>
      <c r="F103" s="38">
        <f>IF(Reinvest="Sim",E103,0)</f>
        <v/>
      </c>
      <c r="G103" s="38">
        <f>(B103+F103)*Growth_m</f>
        <v/>
      </c>
      <c r="H103" s="38">
        <f>B103+F103+G103</f>
        <v/>
      </c>
      <c r="I103" s="38">
        <f>I102+(E103-F103)</f>
        <v/>
      </c>
      <c r="J103" s="38">
        <f>H103+I103</f>
        <v/>
      </c>
      <c r="K103" s="38">
        <f>(E103-F103)-D103+IF(A103=Horizon,H103,0)</f>
        <v/>
      </c>
    </row>
    <row r="104" ht="16" customHeight="1">
      <c r="A104" s="37" t="n">
        <v>99</v>
      </c>
      <c r="B104" s="38">
        <f>C104+D104</f>
        <v/>
      </c>
      <c r="C104" s="38">
        <f>H103</f>
        <v/>
      </c>
      <c r="D104" s="38">
        <f>Monthly</f>
        <v/>
      </c>
      <c r="E104" s="38">
        <f>B104*Yield_m</f>
        <v/>
      </c>
      <c r="F104" s="38">
        <f>IF(Reinvest="Sim",E104,0)</f>
        <v/>
      </c>
      <c r="G104" s="38">
        <f>(B104+F104)*Growth_m</f>
        <v/>
      </c>
      <c r="H104" s="38">
        <f>B104+F104+G104</f>
        <v/>
      </c>
      <c r="I104" s="38">
        <f>I103+(E104-F104)</f>
        <v/>
      </c>
      <c r="J104" s="38">
        <f>H104+I104</f>
        <v/>
      </c>
      <c r="K104" s="38">
        <f>(E104-F104)-D104+IF(A104=Horizon,H104,0)</f>
        <v/>
      </c>
    </row>
    <row r="105" ht="16" customHeight="1">
      <c r="A105" s="37" t="n">
        <v>100</v>
      </c>
      <c r="B105" s="38">
        <f>C105+D105</f>
        <v/>
      </c>
      <c r="C105" s="38">
        <f>H104</f>
        <v/>
      </c>
      <c r="D105" s="38">
        <f>Monthly</f>
        <v/>
      </c>
      <c r="E105" s="38">
        <f>B105*Yield_m</f>
        <v/>
      </c>
      <c r="F105" s="38">
        <f>IF(Reinvest="Sim",E105,0)</f>
        <v/>
      </c>
      <c r="G105" s="38">
        <f>(B105+F105)*Growth_m</f>
        <v/>
      </c>
      <c r="H105" s="38">
        <f>B105+F105+G105</f>
        <v/>
      </c>
      <c r="I105" s="38">
        <f>I104+(E105-F105)</f>
        <v/>
      </c>
      <c r="J105" s="38">
        <f>H105+I105</f>
        <v/>
      </c>
      <c r="K105" s="38">
        <f>(E105-F105)-D105+IF(A105=Horizon,H105,0)</f>
        <v/>
      </c>
    </row>
    <row r="106" ht="16" customHeight="1">
      <c r="A106" s="37" t="n">
        <v>101</v>
      </c>
      <c r="B106" s="38">
        <f>C106+D106</f>
        <v/>
      </c>
      <c r="C106" s="38">
        <f>H105</f>
        <v/>
      </c>
      <c r="D106" s="38">
        <f>Monthly</f>
        <v/>
      </c>
      <c r="E106" s="38">
        <f>B106*Yield_m</f>
        <v/>
      </c>
      <c r="F106" s="38">
        <f>IF(Reinvest="Sim",E106,0)</f>
        <v/>
      </c>
      <c r="G106" s="38">
        <f>(B106+F106)*Growth_m</f>
        <v/>
      </c>
      <c r="H106" s="38">
        <f>B106+F106+G106</f>
        <v/>
      </c>
      <c r="I106" s="38">
        <f>I105+(E106-F106)</f>
        <v/>
      </c>
      <c r="J106" s="38">
        <f>H106+I106</f>
        <v/>
      </c>
      <c r="K106" s="38">
        <f>(E106-F106)-D106+IF(A106=Horizon,H106,0)</f>
        <v/>
      </c>
    </row>
    <row r="107" ht="16" customHeight="1">
      <c r="A107" s="37" t="n">
        <v>102</v>
      </c>
      <c r="B107" s="38">
        <f>C107+D107</f>
        <v/>
      </c>
      <c r="C107" s="38">
        <f>H106</f>
        <v/>
      </c>
      <c r="D107" s="38">
        <f>Monthly</f>
        <v/>
      </c>
      <c r="E107" s="38">
        <f>B107*Yield_m</f>
        <v/>
      </c>
      <c r="F107" s="38">
        <f>IF(Reinvest="Sim",E107,0)</f>
        <v/>
      </c>
      <c r="G107" s="38">
        <f>(B107+F107)*Growth_m</f>
        <v/>
      </c>
      <c r="H107" s="38">
        <f>B107+F107+G107</f>
        <v/>
      </c>
      <c r="I107" s="38">
        <f>I106+(E107-F107)</f>
        <v/>
      </c>
      <c r="J107" s="38">
        <f>H107+I107</f>
        <v/>
      </c>
      <c r="K107" s="38">
        <f>(E107-F107)-D107+IF(A107=Horizon,H107,0)</f>
        <v/>
      </c>
    </row>
    <row r="108" ht="16" customHeight="1">
      <c r="A108" s="37" t="n">
        <v>103</v>
      </c>
      <c r="B108" s="38">
        <f>C108+D108</f>
        <v/>
      </c>
      <c r="C108" s="38">
        <f>H107</f>
        <v/>
      </c>
      <c r="D108" s="38">
        <f>Monthly</f>
        <v/>
      </c>
      <c r="E108" s="38">
        <f>B108*Yield_m</f>
        <v/>
      </c>
      <c r="F108" s="38">
        <f>IF(Reinvest="Sim",E108,0)</f>
        <v/>
      </c>
      <c r="G108" s="38">
        <f>(B108+F108)*Growth_m</f>
        <v/>
      </c>
      <c r="H108" s="38">
        <f>B108+F108+G108</f>
        <v/>
      </c>
      <c r="I108" s="38">
        <f>I107+(E108-F108)</f>
        <v/>
      </c>
      <c r="J108" s="38">
        <f>H108+I108</f>
        <v/>
      </c>
      <c r="K108" s="38">
        <f>(E108-F108)-D108+IF(A108=Horizon,H108,0)</f>
        <v/>
      </c>
    </row>
    <row r="109" ht="16" customHeight="1">
      <c r="A109" s="37" t="n">
        <v>104</v>
      </c>
      <c r="B109" s="38">
        <f>C109+D109</f>
        <v/>
      </c>
      <c r="C109" s="38">
        <f>H108</f>
        <v/>
      </c>
      <c r="D109" s="38">
        <f>Monthly</f>
        <v/>
      </c>
      <c r="E109" s="38">
        <f>B109*Yield_m</f>
        <v/>
      </c>
      <c r="F109" s="38">
        <f>IF(Reinvest="Sim",E109,0)</f>
        <v/>
      </c>
      <c r="G109" s="38">
        <f>(B109+F109)*Growth_m</f>
        <v/>
      </c>
      <c r="H109" s="38">
        <f>B109+F109+G109</f>
        <v/>
      </c>
      <c r="I109" s="38">
        <f>I108+(E109-F109)</f>
        <v/>
      </c>
      <c r="J109" s="38">
        <f>H109+I109</f>
        <v/>
      </c>
      <c r="K109" s="38">
        <f>(E109-F109)-D109+IF(A109=Horizon,H109,0)</f>
        <v/>
      </c>
    </row>
    <row r="110" ht="16" customHeight="1">
      <c r="A110" s="37" t="n">
        <v>105</v>
      </c>
      <c r="B110" s="38">
        <f>C110+D110</f>
        <v/>
      </c>
      <c r="C110" s="38">
        <f>H109</f>
        <v/>
      </c>
      <c r="D110" s="38">
        <f>Monthly</f>
        <v/>
      </c>
      <c r="E110" s="38">
        <f>B110*Yield_m</f>
        <v/>
      </c>
      <c r="F110" s="38">
        <f>IF(Reinvest="Sim",E110,0)</f>
        <v/>
      </c>
      <c r="G110" s="38">
        <f>(B110+F110)*Growth_m</f>
        <v/>
      </c>
      <c r="H110" s="38">
        <f>B110+F110+G110</f>
        <v/>
      </c>
      <c r="I110" s="38">
        <f>I109+(E110-F110)</f>
        <v/>
      </c>
      <c r="J110" s="38">
        <f>H110+I110</f>
        <v/>
      </c>
      <c r="K110" s="38">
        <f>(E110-F110)-D110+IF(A110=Horizon,H110,0)</f>
        <v/>
      </c>
    </row>
    <row r="111" ht="16" customHeight="1">
      <c r="A111" s="37" t="n">
        <v>106</v>
      </c>
      <c r="B111" s="38">
        <f>C111+D111</f>
        <v/>
      </c>
      <c r="C111" s="38">
        <f>H110</f>
        <v/>
      </c>
      <c r="D111" s="38">
        <f>Monthly</f>
        <v/>
      </c>
      <c r="E111" s="38">
        <f>B111*Yield_m</f>
        <v/>
      </c>
      <c r="F111" s="38">
        <f>IF(Reinvest="Sim",E111,0)</f>
        <v/>
      </c>
      <c r="G111" s="38">
        <f>(B111+F111)*Growth_m</f>
        <v/>
      </c>
      <c r="H111" s="38">
        <f>B111+F111+G111</f>
        <v/>
      </c>
      <c r="I111" s="38">
        <f>I110+(E111-F111)</f>
        <v/>
      </c>
      <c r="J111" s="38">
        <f>H111+I111</f>
        <v/>
      </c>
      <c r="K111" s="38">
        <f>(E111-F111)-D111+IF(A111=Horizon,H111,0)</f>
        <v/>
      </c>
    </row>
    <row r="112" ht="16" customHeight="1">
      <c r="A112" s="37" t="n">
        <v>107</v>
      </c>
      <c r="B112" s="38">
        <f>C112+D112</f>
        <v/>
      </c>
      <c r="C112" s="38">
        <f>H111</f>
        <v/>
      </c>
      <c r="D112" s="38">
        <f>Monthly</f>
        <v/>
      </c>
      <c r="E112" s="38">
        <f>B112*Yield_m</f>
        <v/>
      </c>
      <c r="F112" s="38">
        <f>IF(Reinvest="Sim",E112,0)</f>
        <v/>
      </c>
      <c r="G112" s="38">
        <f>(B112+F112)*Growth_m</f>
        <v/>
      </c>
      <c r="H112" s="38">
        <f>B112+F112+G112</f>
        <v/>
      </c>
      <c r="I112" s="38">
        <f>I111+(E112-F112)</f>
        <v/>
      </c>
      <c r="J112" s="38">
        <f>H112+I112</f>
        <v/>
      </c>
      <c r="K112" s="38">
        <f>(E112-F112)-D112+IF(A112=Horizon,H112,0)</f>
        <v/>
      </c>
    </row>
    <row r="113" ht="16" customHeight="1">
      <c r="A113" s="37" t="n">
        <v>108</v>
      </c>
      <c r="B113" s="38">
        <f>C113+D113</f>
        <v/>
      </c>
      <c r="C113" s="38">
        <f>H112</f>
        <v/>
      </c>
      <c r="D113" s="38">
        <f>Monthly</f>
        <v/>
      </c>
      <c r="E113" s="38">
        <f>B113*Yield_m</f>
        <v/>
      </c>
      <c r="F113" s="38">
        <f>IF(Reinvest="Sim",E113,0)</f>
        <v/>
      </c>
      <c r="G113" s="38">
        <f>(B113+F113)*Growth_m</f>
        <v/>
      </c>
      <c r="H113" s="38">
        <f>B113+F113+G113</f>
        <v/>
      </c>
      <c r="I113" s="38">
        <f>I112+(E113-F113)</f>
        <v/>
      </c>
      <c r="J113" s="38">
        <f>H113+I113</f>
        <v/>
      </c>
      <c r="K113" s="38">
        <f>(E113-F113)-D113+IF(A113=Horizon,H113,0)</f>
        <v/>
      </c>
    </row>
    <row r="114" ht="16" customHeight="1">
      <c r="A114" s="37" t="n">
        <v>109</v>
      </c>
      <c r="B114" s="38">
        <f>C114+D114</f>
        <v/>
      </c>
      <c r="C114" s="38">
        <f>H113</f>
        <v/>
      </c>
      <c r="D114" s="38">
        <f>Monthly</f>
        <v/>
      </c>
      <c r="E114" s="38">
        <f>B114*Yield_m</f>
        <v/>
      </c>
      <c r="F114" s="38">
        <f>IF(Reinvest="Sim",E114,0)</f>
        <v/>
      </c>
      <c r="G114" s="38">
        <f>(B114+F114)*Growth_m</f>
        <v/>
      </c>
      <c r="H114" s="38">
        <f>B114+F114+G114</f>
        <v/>
      </c>
      <c r="I114" s="38">
        <f>I113+(E114-F114)</f>
        <v/>
      </c>
      <c r="J114" s="38">
        <f>H114+I114</f>
        <v/>
      </c>
      <c r="K114" s="38">
        <f>(E114-F114)-D114+IF(A114=Horizon,H114,0)</f>
        <v/>
      </c>
    </row>
    <row r="115" ht="16" customHeight="1">
      <c r="A115" s="37" t="n">
        <v>110</v>
      </c>
      <c r="B115" s="38">
        <f>C115+D115</f>
        <v/>
      </c>
      <c r="C115" s="38">
        <f>H114</f>
        <v/>
      </c>
      <c r="D115" s="38">
        <f>Monthly</f>
        <v/>
      </c>
      <c r="E115" s="38">
        <f>B115*Yield_m</f>
        <v/>
      </c>
      <c r="F115" s="38">
        <f>IF(Reinvest="Sim",E115,0)</f>
        <v/>
      </c>
      <c r="G115" s="38">
        <f>(B115+F115)*Growth_m</f>
        <v/>
      </c>
      <c r="H115" s="38">
        <f>B115+F115+G115</f>
        <v/>
      </c>
      <c r="I115" s="38">
        <f>I114+(E115-F115)</f>
        <v/>
      </c>
      <c r="J115" s="38">
        <f>H115+I115</f>
        <v/>
      </c>
      <c r="K115" s="38">
        <f>(E115-F115)-D115+IF(A115=Horizon,H115,0)</f>
        <v/>
      </c>
    </row>
    <row r="116" ht="16" customHeight="1">
      <c r="A116" s="37" t="n">
        <v>111</v>
      </c>
      <c r="B116" s="38">
        <f>C116+D116</f>
        <v/>
      </c>
      <c r="C116" s="38">
        <f>H115</f>
        <v/>
      </c>
      <c r="D116" s="38">
        <f>Monthly</f>
        <v/>
      </c>
      <c r="E116" s="38">
        <f>B116*Yield_m</f>
        <v/>
      </c>
      <c r="F116" s="38">
        <f>IF(Reinvest="Sim",E116,0)</f>
        <v/>
      </c>
      <c r="G116" s="38">
        <f>(B116+F116)*Growth_m</f>
        <v/>
      </c>
      <c r="H116" s="38">
        <f>B116+F116+G116</f>
        <v/>
      </c>
      <c r="I116" s="38">
        <f>I115+(E116-F116)</f>
        <v/>
      </c>
      <c r="J116" s="38">
        <f>H116+I116</f>
        <v/>
      </c>
      <c r="K116" s="38">
        <f>(E116-F116)-D116+IF(A116=Horizon,H116,0)</f>
        <v/>
      </c>
    </row>
    <row r="117" ht="16" customHeight="1">
      <c r="A117" s="37" t="n">
        <v>112</v>
      </c>
      <c r="B117" s="38">
        <f>C117+D117</f>
        <v/>
      </c>
      <c r="C117" s="38">
        <f>H116</f>
        <v/>
      </c>
      <c r="D117" s="38">
        <f>Monthly</f>
        <v/>
      </c>
      <c r="E117" s="38">
        <f>B117*Yield_m</f>
        <v/>
      </c>
      <c r="F117" s="38">
        <f>IF(Reinvest="Sim",E117,0)</f>
        <v/>
      </c>
      <c r="G117" s="38">
        <f>(B117+F117)*Growth_m</f>
        <v/>
      </c>
      <c r="H117" s="38">
        <f>B117+F117+G117</f>
        <v/>
      </c>
      <c r="I117" s="38">
        <f>I116+(E117-F117)</f>
        <v/>
      </c>
      <c r="J117" s="38">
        <f>H117+I117</f>
        <v/>
      </c>
      <c r="K117" s="38">
        <f>(E117-F117)-D117+IF(A117=Horizon,H117,0)</f>
        <v/>
      </c>
    </row>
    <row r="118" ht="16" customHeight="1">
      <c r="A118" s="37" t="n">
        <v>113</v>
      </c>
      <c r="B118" s="38">
        <f>C118+D118</f>
        <v/>
      </c>
      <c r="C118" s="38">
        <f>H117</f>
        <v/>
      </c>
      <c r="D118" s="38">
        <f>Monthly</f>
        <v/>
      </c>
      <c r="E118" s="38">
        <f>B118*Yield_m</f>
        <v/>
      </c>
      <c r="F118" s="38">
        <f>IF(Reinvest="Sim",E118,0)</f>
        <v/>
      </c>
      <c r="G118" s="38">
        <f>(B118+F118)*Growth_m</f>
        <v/>
      </c>
      <c r="H118" s="38">
        <f>B118+F118+G118</f>
        <v/>
      </c>
      <c r="I118" s="38">
        <f>I117+(E118-F118)</f>
        <v/>
      </c>
      <c r="J118" s="38">
        <f>H118+I118</f>
        <v/>
      </c>
      <c r="K118" s="38">
        <f>(E118-F118)-D118+IF(A118=Horizon,H118,0)</f>
        <v/>
      </c>
    </row>
    <row r="119" ht="16" customHeight="1">
      <c r="A119" s="37" t="n">
        <v>114</v>
      </c>
      <c r="B119" s="38">
        <f>C119+D119</f>
        <v/>
      </c>
      <c r="C119" s="38">
        <f>H118</f>
        <v/>
      </c>
      <c r="D119" s="38">
        <f>Monthly</f>
        <v/>
      </c>
      <c r="E119" s="38">
        <f>B119*Yield_m</f>
        <v/>
      </c>
      <c r="F119" s="38">
        <f>IF(Reinvest="Sim",E119,0)</f>
        <v/>
      </c>
      <c r="G119" s="38">
        <f>(B119+F119)*Growth_m</f>
        <v/>
      </c>
      <c r="H119" s="38">
        <f>B119+F119+G119</f>
        <v/>
      </c>
      <c r="I119" s="38">
        <f>I118+(E119-F119)</f>
        <v/>
      </c>
      <c r="J119" s="38">
        <f>H119+I119</f>
        <v/>
      </c>
      <c r="K119" s="38">
        <f>(E119-F119)-D119+IF(A119=Horizon,H119,0)</f>
        <v/>
      </c>
    </row>
    <row r="120" ht="16" customHeight="1">
      <c r="A120" s="37" t="n">
        <v>115</v>
      </c>
      <c r="B120" s="38">
        <f>C120+D120</f>
        <v/>
      </c>
      <c r="C120" s="38">
        <f>H119</f>
        <v/>
      </c>
      <c r="D120" s="38">
        <f>Monthly</f>
        <v/>
      </c>
      <c r="E120" s="38">
        <f>B120*Yield_m</f>
        <v/>
      </c>
      <c r="F120" s="38">
        <f>IF(Reinvest="Sim",E120,0)</f>
        <v/>
      </c>
      <c r="G120" s="38">
        <f>(B120+F120)*Growth_m</f>
        <v/>
      </c>
      <c r="H120" s="38">
        <f>B120+F120+G120</f>
        <v/>
      </c>
      <c r="I120" s="38">
        <f>I119+(E120-F120)</f>
        <v/>
      </c>
      <c r="J120" s="38">
        <f>H120+I120</f>
        <v/>
      </c>
      <c r="K120" s="38">
        <f>(E120-F120)-D120+IF(A120=Horizon,H120,0)</f>
        <v/>
      </c>
    </row>
    <row r="121" ht="16" customHeight="1">
      <c r="A121" s="37" t="n">
        <v>116</v>
      </c>
      <c r="B121" s="38">
        <f>C121+D121</f>
        <v/>
      </c>
      <c r="C121" s="38">
        <f>H120</f>
        <v/>
      </c>
      <c r="D121" s="38">
        <f>Monthly</f>
        <v/>
      </c>
      <c r="E121" s="38">
        <f>B121*Yield_m</f>
        <v/>
      </c>
      <c r="F121" s="38">
        <f>IF(Reinvest="Sim",E121,0)</f>
        <v/>
      </c>
      <c r="G121" s="38">
        <f>(B121+F121)*Growth_m</f>
        <v/>
      </c>
      <c r="H121" s="38">
        <f>B121+F121+G121</f>
        <v/>
      </c>
      <c r="I121" s="38">
        <f>I120+(E121-F121)</f>
        <v/>
      </c>
      <c r="J121" s="38">
        <f>H121+I121</f>
        <v/>
      </c>
      <c r="K121" s="38">
        <f>(E121-F121)-D121+IF(A121=Horizon,H121,0)</f>
        <v/>
      </c>
    </row>
    <row r="122" ht="16" customHeight="1">
      <c r="A122" s="37" t="n">
        <v>117</v>
      </c>
      <c r="B122" s="38">
        <f>C122+D122</f>
        <v/>
      </c>
      <c r="C122" s="38">
        <f>H121</f>
        <v/>
      </c>
      <c r="D122" s="38">
        <f>Monthly</f>
        <v/>
      </c>
      <c r="E122" s="38">
        <f>B122*Yield_m</f>
        <v/>
      </c>
      <c r="F122" s="38">
        <f>IF(Reinvest="Sim",E122,0)</f>
        <v/>
      </c>
      <c r="G122" s="38">
        <f>(B122+F122)*Growth_m</f>
        <v/>
      </c>
      <c r="H122" s="38">
        <f>B122+F122+G122</f>
        <v/>
      </c>
      <c r="I122" s="38">
        <f>I121+(E122-F122)</f>
        <v/>
      </c>
      <c r="J122" s="38">
        <f>H122+I122</f>
        <v/>
      </c>
      <c r="K122" s="38">
        <f>(E122-F122)-D122+IF(A122=Horizon,H122,0)</f>
        <v/>
      </c>
    </row>
    <row r="123" ht="16" customHeight="1">
      <c r="A123" s="37" t="n">
        <v>118</v>
      </c>
      <c r="B123" s="38">
        <f>C123+D123</f>
        <v/>
      </c>
      <c r="C123" s="38">
        <f>H122</f>
        <v/>
      </c>
      <c r="D123" s="38">
        <f>Monthly</f>
        <v/>
      </c>
      <c r="E123" s="38">
        <f>B123*Yield_m</f>
        <v/>
      </c>
      <c r="F123" s="38">
        <f>IF(Reinvest="Sim",E123,0)</f>
        <v/>
      </c>
      <c r="G123" s="38">
        <f>(B123+F123)*Growth_m</f>
        <v/>
      </c>
      <c r="H123" s="38">
        <f>B123+F123+G123</f>
        <v/>
      </c>
      <c r="I123" s="38">
        <f>I122+(E123-F123)</f>
        <v/>
      </c>
      <c r="J123" s="38">
        <f>H123+I123</f>
        <v/>
      </c>
      <c r="K123" s="38">
        <f>(E123-F123)-D123+IF(A123=Horizon,H123,0)</f>
        <v/>
      </c>
    </row>
    <row r="124" ht="16" customHeight="1">
      <c r="A124" s="37" t="n">
        <v>119</v>
      </c>
      <c r="B124" s="38">
        <f>C124+D124</f>
        <v/>
      </c>
      <c r="C124" s="38">
        <f>H123</f>
        <v/>
      </c>
      <c r="D124" s="38">
        <f>Monthly</f>
        <v/>
      </c>
      <c r="E124" s="38">
        <f>B124*Yield_m</f>
        <v/>
      </c>
      <c r="F124" s="38">
        <f>IF(Reinvest="Sim",E124,0)</f>
        <v/>
      </c>
      <c r="G124" s="38">
        <f>(B124+F124)*Growth_m</f>
        <v/>
      </c>
      <c r="H124" s="38">
        <f>B124+F124+G124</f>
        <v/>
      </c>
      <c r="I124" s="38">
        <f>I123+(E124-F124)</f>
        <v/>
      </c>
      <c r="J124" s="38">
        <f>H124+I124</f>
        <v/>
      </c>
      <c r="K124" s="38">
        <f>(E124-F124)-D124+IF(A124=Horizon,H124,0)</f>
        <v/>
      </c>
    </row>
    <row r="125" ht="16" customHeight="1">
      <c r="A125" s="37" t="n">
        <v>120</v>
      </c>
      <c r="B125" s="38">
        <f>C125+D125</f>
        <v/>
      </c>
      <c r="C125" s="38">
        <f>H124</f>
        <v/>
      </c>
      <c r="D125" s="38">
        <f>Monthly</f>
        <v/>
      </c>
      <c r="E125" s="38">
        <f>B125*Yield_m</f>
        <v/>
      </c>
      <c r="F125" s="38">
        <f>IF(Reinvest="Sim",E125,0)</f>
        <v/>
      </c>
      <c r="G125" s="38">
        <f>(B125+F125)*Growth_m</f>
        <v/>
      </c>
      <c r="H125" s="38">
        <f>B125+F125+G125</f>
        <v/>
      </c>
      <c r="I125" s="38">
        <f>I124+(E125-F125)</f>
        <v/>
      </c>
      <c r="J125" s="38">
        <f>H125+I125</f>
        <v/>
      </c>
      <c r="K125" s="38">
        <f>(E125-F125)-D125+IF(A125=Horizon,H125,0)</f>
        <v/>
      </c>
    </row>
    <row r="126" ht="16" customHeight="1">
      <c r="A126" s="37" t="n">
        <v>121</v>
      </c>
      <c r="B126" s="38">
        <f>C126+D126</f>
        <v/>
      </c>
      <c r="C126" s="38">
        <f>H125</f>
        <v/>
      </c>
      <c r="D126" s="38">
        <f>Monthly</f>
        <v/>
      </c>
      <c r="E126" s="38">
        <f>B126*Yield_m</f>
        <v/>
      </c>
      <c r="F126" s="38">
        <f>IF(Reinvest="Sim",E126,0)</f>
        <v/>
      </c>
      <c r="G126" s="38">
        <f>(B126+F126)*Growth_m</f>
        <v/>
      </c>
      <c r="H126" s="38">
        <f>B126+F126+G126</f>
        <v/>
      </c>
      <c r="I126" s="38">
        <f>I125+(E126-F126)</f>
        <v/>
      </c>
      <c r="J126" s="38">
        <f>H126+I126</f>
        <v/>
      </c>
      <c r="K126" s="38">
        <f>(E126-F126)-D126+IF(A126=Horizon,H126,0)</f>
        <v/>
      </c>
    </row>
    <row r="127" ht="16" customHeight="1">
      <c r="A127" s="37" t="n">
        <v>122</v>
      </c>
      <c r="B127" s="38">
        <f>C127+D127</f>
        <v/>
      </c>
      <c r="C127" s="38">
        <f>H126</f>
        <v/>
      </c>
      <c r="D127" s="38">
        <f>Monthly</f>
        <v/>
      </c>
      <c r="E127" s="38">
        <f>B127*Yield_m</f>
        <v/>
      </c>
      <c r="F127" s="38">
        <f>IF(Reinvest="Sim",E127,0)</f>
        <v/>
      </c>
      <c r="G127" s="38">
        <f>(B127+F127)*Growth_m</f>
        <v/>
      </c>
      <c r="H127" s="38">
        <f>B127+F127+G127</f>
        <v/>
      </c>
      <c r="I127" s="38">
        <f>I126+(E127-F127)</f>
        <v/>
      </c>
      <c r="J127" s="38">
        <f>H127+I127</f>
        <v/>
      </c>
      <c r="K127" s="38">
        <f>(E127-F127)-D127+IF(A127=Horizon,H127,0)</f>
        <v/>
      </c>
    </row>
    <row r="128" ht="16" customHeight="1">
      <c r="A128" s="37" t="n">
        <v>123</v>
      </c>
      <c r="B128" s="38">
        <f>C128+D128</f>
        <v/>
      </c>
      <c r="C128" s="38">
        <f>H127</f>
        <v/>
      </c>
      <c r="D128" s="38">
        <f>Monthly</f>
        <v/>
      </c>
      <c r="E128" s="38">
        <f>B128*Yield_m</f>
        <v/>
      </c>
      <c r="F128" s="38">
        <f>IF(Reinvest="Sim",E128,0)</f>
        <v/>
      </c>
      <c r="G128" s="38">
        <f>(B128+F128)*Growth_m</f>
        <v/>
      </c>
      <c r="H128" s="38">
        <f>B128+F128+G128</f>
        <v/>
      </c>
      <c r="I128" s="38">
        <f>I127+(E128-F128)</f>
        <v/>
      </c>
      <c r="J128" s="38">
        <f>H128+I128</f>
        <v/>
      </c>
      <c r="K128" s="38">
        <f>(E128-F128)-D128+IF(A128=Horizon,H128,0)</f>
        <v/>
      </c>
    </row>
    <row r="129" ht="16" customHeight="1">
      <c r="A129" s="37" t="n">
        <v>124</v>
      </c>
      <c r="B129" s="38">
        <f>C129+D129</f>
        <v/>
      </c>
      <c r="C129" s="38">
        <f>H128</f>
        <v/>
      </c>
      <c r="D129" s="38">
        <f>Monthly</f>
        <v/>
      </c>
      <c r="E129" s="38">
        <f>B129*Yield_m</f>
        <v/>
      </c>
      <c r="F129" s="38">
        <f>IF(Reinvest="Sim",E129,0)</f>
        <v/>
      </c>
      <c r="G129" s="38">
        <f>(B129+F129)*Growth_m</f>
        <v/>
      </c>
      <c r="H129" s="38">
        <f>B129+F129+G129</f>
        <v/>
      </c>
      <c r="I129" s="38">
        <f>I128+(E129-F129)</f>
        <v/>
      </c>
      <c r="J129" s="38">
        <f>H129+I129</f>
        <v/>
      </c>
      <c r="K129" s="38">
        <f>(E129-F129)-D129+IF(A129=Horizon,H129,0)</f>
        <v/>
      </c>
    </row>
    <row r="130" ht="16" customHeight="1">
      <c r="A130" s="37" t="n">
        <v>125</v>
      </c>
      <c r="B130" s="38">
        <f>C130+D130</f>
        <v/>
      </c>
      <c r="C130" s="38">
        <f>H129</f>
        <v/>
      </c>
      <c r="D130" s="38">
        <f>Monthly</f>
        <v/>
      </c>
      <c r="E130" s="38">
        <f>B130*Yield_m</f>
        <v/>
      </c>
      <c r="F130" s="38">
        <f>IF(Reinvest="Sim",E130,0)</f>
        <v/>
      </c>
      <c r="G130" s="38">
        <f>(B130+F130)*Growth_m</f>
        <v/>
      </c>
      <c r="H130" s="38">
        <f>B130+F130+G130</f>
        <v/>
      </c>
      <c r="I130" s="38">
        <f>I129+(E130-F130)</f>
        <v/>
      </c>
      <c r="J130" s="38">
        <f>H130+I130</f>
        <v/>
      </c>
      <c r="K130" s="38">
        <f>(E130-F130)-D130+IF(A130=Horizon,H130,0)</f>
        <v/>
      </c>
    </row>
    <row r="131" ht="16" customHeight="1">
      <c r="A131" s="37" t="n">
        <v>126</v>
      </c>
      <c r="B131" s="38">
        <f>C131+D131</f>
        <v/>
      </c>
      <c r="C131" s="38">
        <f>H130</f>
        <v/>
      </c>
      <c r="D131" s="38">
        <f>Monthly</f>
        <v/>
      </c>
      <c r="E131" s="38">
        <f>B131*Yield_m</f>
        <v/>
      </c>
      <c r="F131" s="38">
        <f>IF(Reinvest="Sim",E131,0)</f>
        <v/>
      </c>
      <c r="G131" s="38">
        <f>(B131+F131)*Growth_m</f>
        <v/>
      </c>
      <c r="H131" s="38">
        <f>B131+F131+G131</f>
        <v/>
      </c>
      <c r="I131" s="38">
        <f>I130+(E131-F131)</f>
        <v/>
      </c>
      <c r="J131" s="38">
        <f>H131+I131</f>
        <v/>
      </c>
      <c r="K131" s="38">
        <f>(E131-F131)-D131+IF(A131=Horizon,H131,0)</f>
        <v/>
      </c>
    </row>
    <row r="132" ht="16" customHeight="1">
      <c r="A132" s="37" t="n">
        <v>127</v>
      </c>
      <c r="B132" s="38">
        <f>C132+D132</f>
        <v/>
      </c>
      <c r="C132" s="38">
        <f>H131</f>
        <v/>
      </c>
      <c r="D132" s="38">
        <f>Monthly</f>
        <v/>
      </c>
      <c r="E132" s="38">
        <f>B132*Yield_m</f>
        <v/>
      </c>
      <c r="F132" s="38">
        <f>IF(Reinvest="Sim",E132,0)</f>
        <v/>
      </c>
      <c r="G132" s="38">
        <f>(B132+F132)*Growth_m</f>
        <v/>
      </c>
      <c r="H132" s="38">
        <f>B132+F132+G132</f>
        <v/>
      </c>
      <c r="I132" s="38">
        <f>I131+(E132-F132)</f>
        <v/>
      </c>
      <c r="J132" s="38">
        <f>H132+I132</f>
        <v/>
      </c>
      <c r="K132" s="38">
        <f>(E132-F132)-D132+IF(A132=Horizon,H132,0)</f>
        <v/>
      </c>
    </row>
    <row r="133" ht="16" customHeight="1">
      <c r="A133" s="37" t="n">
        <v>128</v>
      </c>
      <c r="B133" s="38">
        <f>C133+D133</f>
        <v/>
      </c>
      <c r="C133" s="38">
        <f>H132</f>
        <v/>
      </c>
      <c r="D133" s="38">
        <f>Monthly</f>
        <v/>
      </c>
      <c r="E133" s="38">
        <f>B133*Yield_m</f>
        <v/>
      </c>
      <c r="F133" s="38">
        <f>IF(Reinvest="Sim",E133,0)</f>
        <v/>
      </c>
      <c r="G133" s="38">
        <f>(B133+F133)*Growth_m</f>
        <v/>
      </c>
      <c r="H133" s="38">
        <f>B133+F133+G133</f>
        <v/>
      </c>
      <c r="I133" s="38">
        <f>I132+(E133-F133)</f>
        <v/>
      </c>
      <c r="J133" s="38">
        <f>H133+I133</f>
        <v/>
      </c>
      <c r="K133" s="38">
        <f>(E133-F133)-D133+IF(A133=Horizon,H133,0)</f>
        <v/>
      </c>
    </row>
    <row r="134" ht="16" customHeight="1">
      <c r="A134" s="37" t="n">
        <v>129</v>
      </c>
      <c r="B134" s="38">
        <f>C134+D134</f>
        <v/>
      </c>
      <c r="C134" s="38">
        <f>H133</f>
        <v/>
      </c>
      <c r="D134" s="38">
        <f>Monthly</f>
        <v/>
      </c>
      <c r="E134" s="38">
        <f>B134*Yield_m</f>
        <v/>
      </c>
      <c r="F134" s="38">
        <f>IF(Reinvest="Sim",E134,0)</f>
        <v/>
      </c>
      <c r="G134" s="38">
        <f>(B134+F134)*Growth_m</f>
        <v/>
      </c>
      <c r="H134" s="38">
        <f>B134+F134+G134</f>
        <v/>
      </c>
      <c r="I134" s="38">
        <f>I133+(E134-F134)</f>
        <v/>
      </c>
      <c r="J134" s="38">
        <f>H134+I134</f>
        <v/>
      </c>
      <c r="K134" s="38">
        <f>(E134-F134)-D134+IF(A134=Horizon,H134,0)</f>
        <v/>
      </c>
    </row>
    <row r="135" ht="16" customHeight="1">
      <c r="A135" s="37" t="n">
        <v>130</v>
      </c>
      <c r="B135" s="38">
        <f>C135+D135</f>
        <v/>
      </c>
      <c r="C135" s="38">
        <f>H134</f>
        <v/>
      </c>
      <c r="D135" s="38">
        <f>Monthly</f>
        <v/>
      </c>
      <c r="E135" s="38">
        <f>B135*Yield_m</f>
        <v/>
      </c>
      <c r="F135" s="38">
        <f>IF(Reinvest="Sim",E135,0)</f>
        <v/>
      </c>
      <c r="G135" s="38">
        <f>(B135+F135)*Growth_m</f>
        <v/>
      </c>
      <c r="H135" s="38">
        <f>B135+F135+G135</f>
        <v/>
      </c>
      <c r="I135" s="38">
        <f>I134+(E135-F135)</f>
        <v/>
      </c>
      <c r="J135" s="38">
        <f>H135+I135</f>
        <v/>
      </c>
      <c r="K135" s="38">
        <f>(E135-F135)-D135+IF(A135=Horizon,H135,0)</f>
        <v/>
      </c>
    </row>
    <row r="136" ht="16" customHeight="1">
      <c r="A136" s="37" t="n">
        <v>131</v>
      </c>
      <c r="B136" s="38">
        <f>C136+D136</f>
        <v/>
      </c>
      <c r="C136" s="38">
        <f>H135</f>
        <v/>
      </c>
      <c r="D136" s="38">
        <f>Monthly</f>
        <v/>
      </c>
      <c r="E136" s="38">
        <f>B136*Yield_m</f>
        <v/>
      </c>
      <c r="F136" s="38">
        <f>IF(Reinvest="Sim",E136,0)</f>
        <v/>
      </c>
      <c r="G136" s="38">
        <f>(B136+F136)*Growth_m</f>
        <v/>
      </c>
      <c r="H136" s="38">
        <f>B136+F136+G136</f>
        <v/>
      </c>
      <c r="I136" s="38">
        <f>I135+(E136-F136)</f>
        <v/>
      </c>
      <c r="J136" s="38">
        <f>H136+I136</f>
        <v/>
      </c>
      <c r="K136" s="38">
        <f>(E136-F136)-D136+IF(A136=Horizon,H136,0)</f>
        <v/>
      </c>
    </row>
    <row r="137" ht="16" customHeight="1">
      <c r="A137" s="37" t="n">
        <v>132</v>
      </c>
      <c r="B137" s="38">
        <f>C137+D137</f>
        <v/>
      </c>
      <c r="C137" s="38">
        <f>H136</f>
        <v/>
      </c>
      <c r="D137" s="38">
        <f>Monthly</f>
        <v/>
      </c>
      <c r="E137" s="38">
        <f>B137*Yield_m</f>
        <v/>
      </c>
      <c r="F137" s="38">
        <f>IF(Reinvest="Sim",E137,0)</f>
        <v/>
      </c>
      <c r="G137" s="38">
        <f>(B137+F137)*Growth_m</f>
        <v/>
      </c>
      <c r="H137" s="38">
        <f>B137+F137+G137</f>
        <v/>
      </c>
      <c r="I137" s="38">
        <f>I136+(E137-F137)</f>
        <v/>
      </c>
      <c r="J137" s="38">
        <f>H137+I137</f>
        <v/>
      </c>
      <c r="K137" s="38">
        <f>(E137-F137)-D137+IF(A137=Horizon,H137,0)</f>
        <v/>
      </c>
    </row>
    <row r="138" ht="16" customHeight="1">
      <c r="A138" s="37" t="n">
        <v>133</v>
      </c>
      <c r="B138" s="38">
        <f>C138+D138</f>
        <v/>
      </c>
      <c r="C138" s="38">
        <f>H137</f>
        <v/>
      </c>
      <c r="D138" s="38">
        <f>Monthly</f>
        <v/>
      </c>
      <c r="E138" s="38">
        <f>B138*Yield_m</f>
        <v/>
      </c>
      <c r="F138" s="38">
        <f>IF(Reinvest="Sim",E138,0)</f>
        <v/>
      </c>
      <c r="G138" s="38">
        <f>(B138+F138)*Growth_m</f>
        <v/>
      </c>
      <c r="H138" s="38">
        <f>B138+F138+G138</f>
        <v/>
      </c>
      <c r="I138" s="38">
        <f>I137+(E138-F138)</f>
        <v/>
      </c>
      <c r="J138" s="38">
        <f>H138+I138</f>
        <v/>
      </c>
      <c r="K138" s="38">
        <f>(E138-F138)-D138+IF(A138=Horizon,H138,0)</f>
        <v/>
      </c>
    </row>
    <row r="139" ht="16" customHeight="1">
      <c r="A139" s="37" t="n">
        <v>134</v>
      </c>
      <c r="B139" s="38">
        <f>C139+D139</f>
        <v/>
      </c>
      <c r="C139" s="38">
        <f>H138</f>
        <v/>
      </c>
      <c r="D139" s="38">
        <f>Monthly</f>
        <v/>
      </c>
      <c r="E139" s="38">
        <f>B139*Yield_m</f>
        <v/>
      </c>
      <c r="F139" s="38">
        <f>IF(Reinvest="Sim",E139,0)</f>
        <v/>
      </c>
      <c r="G139" s="38">
        <f>(B139+F139)*Growth_m</f>
        <v/>
      </c>
      <c r="H139" s="38">
        <f>B139+F139+G139</f>
        <v/>
      </c>
      <c r="I139" s="38">
        <f>I138+(E139-F139)</f>
        <v/>
      </c>
      <c r="J139" s="38">
        <f>H139+I139</f>
        <v/>
      </c>
      <c r="K139" s="38">
        <f>(E139-F139)-D139+IF(A139=Horizon,H139,0)</f>
        <v/>
      </c>
    </row>
    <row r="140" ht="16" customHeight="1">
      <c r="A140" s="37" t="n">
        <v>135</v>
      </c>
      <c r="B140" s="38">
        <f>C140+D140</f>
        <v/>
      </c>
      <c r="C140" s="38">
        <f>H139</f>
        <v/>
      </c>
      <c r="D140" s="38">
        <f>Monthly</f>
        <v/>
      </c>
      <c r="E140" s="38">
        <f>B140*Yield_m</f>
        <v/>
      </c>
      <c r="F140" s="38">
        <f>IF(Reinvest="Sim",E140,0)</f>
        <v/>
      </c>
      <c r="G140" s="38">
        <f>(B140+F140)*Growth_m</f>
        <v/>
      </c>
      <c r="H140" s="38">
        <f>B140+F140+G140</f>
        <v/>
      </c>
      <c r="I140" s="38">
        <f>I139+(E140-F140)</f>
        <v/>
      </c>
      <c r="J140" s="38">
        <f>H140+I140</f>
        <v/>
      </c>
      <c r="K140" s="38">
        <f>(E140-F140)-D140+IF(A140=Horizon,H140,0)</f>
        <v/>
      </c>
    </row>
    <row r="141" ht="16" customHeight="1">
      <c r="A141" s="37" t="n">
        <v>136</v>
      </c>
      <c r="B141" s="38">
        <f>C141+D141</f>
        <v/>
      </c>
      <c r="C141" s="38">
        <f>H140</f>
        <v/>
      </c>
      <c r="D141" s="38">
        <f>Monthly</f>
        <v/>
      </c>
      <c r="E141" s="38">
        <f>B141*Yield_m</f>
        <v/>
      </c>
      <c r="F141" s="38">
        <f>IF(Reinvest="Sim",E141,0)</f>
        <v/>
      </c>
      <c r="G141" s="38">
        <f>(B141+F141)*Growth_m</f>
        <v/>
      </c>
      <c r="H141" s="38">
        <f>B141+F141+G141</f>
        <v/>
      </c>
      <c r="I141" s="38">
        <f>I140+(E141-F141)</f>
        <v/>
      </c>
      <c r="J141" s="38">
        <f>H141+I141</f>
        <v/>
      </c>
      <c r="K141" s="38">
        <f>(E141-F141)-D141+IF(A141=Horizon,H141,0)</f>
        <v/>
      </c>
    </row>
    <row r="142" ht="16" customHeight="1">
      <c r="A142" s="37" t="n">
        <v>137</v>
      </c>
      <c r="B142" s="38">
        <f>C142+D142</f>
        <v/>
      </c>
      <c r="C142" s="38">
        <f>H141</f>
        <v/>
      </c>
      <c r="D142" s="38">
        <f>Monthly</f>
        <v/>
      </c>
      <c r="E142" s="38">
        <f>B142*Yield_m</f>
        <v/>
      </c>
      <c r="F142" s="38">
        <f>IF(Reinvest="Sim",E142,0)</f>
        <v/>
      </c>
      <c r="G142" s="38">
        <f>(B142+F142)*Growth_m</f>
        <v/>
      </c>
      <c r="H142" s="38">
        <f>B142+F142+G142</f>
        <v/>
      </c>
      <c r="I142" s="38">
        <f>I141+(E142-F142)</f>
        <v/>
      </c>
      <c r="J142" s="38">
        <f>H142+I142</f>
        <v/>
      </c>
      <c r="K142" s="38">
        <f>(E142-F142)-D142+IF(A142=Horizon,H142,0)</f>
        <v/>
      </c>
    </row>
    <row r="143" ht="16" customHeight="1">
      <c r="A143" s="37" t="n">
        <v>138</v>
      </c>
      <c r="B143" s="38">
        <f>C143+D143</f>
        <v/>
      </c>
      <c r="C143" s="38">
        <f>H142</f>
        <v/>
      </c>
      <c r="D143" s="38">
        <f>Monthly</f>
        <v/>
      </c>
      <c r="E143" s="38">
        <f>B143*Yield_m</f>
        <v/>
      </c>
      <c r="F143" s="38">
        <f>IF(Reinvest="Sim",E143,0)</f>
        <v/>
      </c>
      <c r="G143" s="38">
        <f>(B143+F143)*Growth_m</f>
        <v/>
      </c>
      <c r="H143" s="38">
        <f>B143+F143+G143</f>
        <v/>
      </c>
      <c r="I143" s="38">
        <f>I142+(E143-F143)</f>
        <v/>
      </c>
      <c r="J143" s="38">
        <f>H143+I143</f>
        <v/>
      </c>
      <c r="K143" s="38">
        <f>(E143-F143)-D143+IF(A143=Horizon,H143,0)</f>
        <v/>
      </c>
    </row>
    <row r="144" ht="16" customHeight="1">
      <c r="A144" s="37" t="n">
        <v>139</v>
      </c>
      <c r="B144" s="38">
        <f>C144+D144</f>
        <v/>
      </c>
      <c r="C144" s="38">
        <f>H143</f>
        <v/>
      </c>
      <c r="D144" s="38">
        <f>Monthly</f>
        <v/>
      </c>
      <c r="E144" s="38">
        <f>B144*Yield_m</f>
        <v/>
      </c>
      <c r="F144" s="38">
        <f>IF(Reinvest="Sim",E144,0)</f>
        <v/>
      </c>
      <c r="G144" s="38">
        <f>(B144+F144)*Growth_m</f>
        <v/>
      </c>
      <c r="H144" s="38">
        <f>B144+F144+G144</f>
        <v/>
      </c>
      <c r="I144" s="38">
        <f>I143+(E144-F144)</f>
        <v/>
      </c>
      <c r="J144" s="38">
        <f>H144+I144</f>
        <v/>
      </c>
      <c r="K144" s="38">
        <f>(E144-F144)-D144+IF(A144=Horizon,H144,0)</f>
        <v/>
      </c>
    </row>
    <row r="145" ht="16" customHeight="1">
      <c r="A145" s="37" t="n">
        <v>140</v>
      </c>
      <c r="B145" s="38">
        <f>C145+D145</f>
        <v/>
      </c>
      <c r="C145" s="38">
        <f>H144</f>
        <v/>
      </c>
      <c r="D145" s="38">
        <f>Monthly</f>
        <v/>
      </c>
      <c r="E145" s="38">
        <f>B145*Yield_m</f>
        <v/>
      </c>
      <c r="F145" s="38">
        <f>IF(Reinvest="Sim",E145,0)</f>
        <v/>
      </c>
      <c r="G145" s="38">
        <f>(B145+F145)*Growth_m</f>
        <v/>
      </c>
      <c r="H145" s="38">
        <f>B145+F145+G145</f>
        <v/>
      </c>
      <c r="I145" s="38">
        <f>I144+(E145-F145)</f>
        <v/>
      </c>
      <c r="J145" s="38">
        <f>H145+I145</f>
        <v/>
      </c>
      <c r="K145" s="38">
        <f>(E145-F145)-D145+IF(A145=Horizon,H145,0)</f>
        <v/>
      </c>
    </row>
    <row r="146" ht="16" customHeight="1">
      <c r="A146" s="37" t="n">
        <v>141</v>
      </c>
      <c r="B146" s="38">
        <f>C146+D146</f>
        <v/>
      </c>
      <c r="C146" s="38">
        <f>H145</f>
        <v/>
      </c>
      <c r="D146" s="38">
        <f>Monthly</f>
        <v/>
      </c>
      <c r="E146" s="38">
        <f>B146*Yield_m</f>
        <v/>
      </c>
      <c r="F146" s="38">
        <f>IF(Reinvest="Sim",E146,0)</f>
        <v/>
      </c>
      <c r="G146" s="38">
        <f>(B146+F146)*Growth_m</f>
        <v/>
      </c>
      <c r="H146" s="38">
        <f>B146+F146+G146</f>
        <v/>
      </c>
      <c r="I146" s="38">
        <f>I145+(E146-F146)</f>
        <v/>
      </c>
      <c r="J146" s="38">
        <f>H146+I146</f>
        <v/>
      </c>
      <c r="K146" s="38">
        <f>(E146-F146)-D146+IF(A146=Horizon,H146,0)</f>
        <v/>
      </c>
    </row>
    <row r="147" ht="16" customHeight="1">
      <c r="A147" s="37" t="n">
        <v>142</v>
      </c>
      <c r="B147" s="38">
        <f>C147+D147</f>
        <v/>
      </c>
      <c r="C147" s="38">
        <f>H146</f>
        <v/>
      </c>
      <c r="D147" s="38">
        <f>Monthly</f>
        <v/>
      </c>
      <c r="E147" s="38">
        <f>B147*Yield_m</f>
        <v/>
      </c>
      <c r="F147" s="38">
        <f>IF(Reinvest="Sim",E147,0)</f>
        <v/>
      </c>
      <c r="G147" s="38">
        <f>(B147+F147)*Growth_m</f>
        <v/>
      </c>
      <c r="H147" s="38">
        <f>B147+F147+G147</f>
        <v/>
      </c>
      <c r="I147" s="38">
        <f>I146+(E147-F147)</f>
        <v/>
      </c>
      <c r="J147" s="38">
        <f>H147+I147</f>
        <v/>
      </c>
      <c r="K147" s="38">
        <f>(E147-F147)-D147+IF(A147=Horizon,H147,0)</f>
        <v/>
      </c>
    </row>
    <row r="148" ht="16" customHeight="1">
      <c r="A148" s="37" t="n">
        <v>143</v>
      </c>
      <c r="B148" s="38">
        <f>C148+D148</f>
        <v/>
      </c>
      <c r="C148" s="38">
        <f>H147</f>
        <v/>
      </c>
      <c r="D148" s="38">
        <f>Monthly</f>
        <v/>
      </c>
      <c r="E148" s="38">
        <f>B148*Yield_m</f>
        <v/>
      </c>
      <c r="F148" s="38">
        <f>IF(Reinvest="Sim",E148,0)</f>
        <v/>
      </c>
      <c r="G148" s="38">
        <f>(B148+F148)*Growth_m</f>
        <v/>
      </c>
      <c r="H148" s="38">
        <f>B148+F148+G148</f>
        <v/>
      </c>
      <c r="I148" s="38">
        <f>I147+(E148-F148)</f>
        <v/>
      </c>
      <c r="J148" s="38">
        <f>H148+I148</f>
        <v/>
      </c>
      <c r="K148" s="38">
        <f>(E148-F148)-D148+IF(A148=Horizon,H148,0)</f>
        <v/>
      </c>
    </row>
    <row r="149" ht="16" customHeight="1">
      <c r="A149" s="37" t="n">
        <v>144</v>
      </c>
      <c r="B149" s="38">
        <f>C149+D149</f>
        <v/>
      </c>
      <c r="C149" s="38">
        <f>H148</f>
        <v/>
      </c>
      <c r="D149" s="38">
        <f>Monthly</f>
        <v/>
      </c>
      <c r="E149" s="38">
        <f>B149*Yield_m</f>
        <v/>
      </c>
      <c r="F149" s="38">
        <f>IF(Reinvest="Sim",E149,0)</f>
        <v/>
      </c>
      <c r="G149" s="38">
        <f>(B149+F149)*Growth_m</f>
        <v/>
      </c>
      <c r="H149" s="38">
        <f>B149+F149+G149</f>
        <v/>
      </c>
      <c r="I149" s="38">
        <f>I148+(E149-F149)</f>
        <v/>
      </c>
      <c r="J149" s="38">
        <f>H149+I149</f>
        <v/>
      </c>
      <c r="K149" s="38">
        <f>(E149-F149)-D149+IF(A149=Horizon,H149,0)</f>
        <v/>
      </c>
    </row>
    <row r="150" ht="16" customHeight="1">
      <c r="A150" s="37" t="n">
        <v>145</v>
      </c>
      <c r="B150" s="38">
        <f>C150+D150</f>
        <v/>
      </c>
      <c r="C150" s="38">
        <f>H149</f>
        <v/>
      </c>
      <c r="D150" s="38">
        <f>Monthly</f>
        <v/>
      </c>
      <c r="E150" s="38">
        <f>B150*Yield_m</f>
        <v/>
      </c>
      <c r="F150" s="38">
        <f>IF(Reinvest="Sim",E150,0)</f>
        <v/>
      </c>
      <c r="G150" s="38">
        <f>(B150+F150)*Growth_m</f>
        <v/>
      </c>
      <c r="H150" s="38">
        <f>B150+F150+G150</f>
        <v/>
      </c>
      <c r="I150" s="38">
        <f>I149+(E150-F150)</f>
        <v/>
      </c>
      <c r="J150" s="38">
        <f>H150+I150</f>
        <v/>
      </c>
      <c r="K150" s="38">
        <f>(E150-F150)-D150+IF(A150=Horizon,H150,0)</f>
        <v/>
      </c>
    </row>
    <row r="151" ht="16" customHeight="1">
      <c r="A151" s="37" t="n">
        <v>146</v>
      </c>
      <c r="B151" s="38">
        <f>C151+D151</f>
        <v/>
      </c>
      <c r="C151" s="38">
        <f>H150</f>
        <v/>
      </c>
      <c r="D151" s="38">
        <f>Monthly</f>
        <v/>
      </c>
      <c r="E151" s="38">
        <f>B151*Yield_m</f>
        <v/>
      </c>
      <c r="F151" s="38">
        <f>IF(Reinvest="Sim",E151,0)</f>
        <v/>
      </c>
      <c r="G151" s="38">
        <f>(B151+F151)*Growth_m</f>
        <v/>
      </c>
      <c r="H151" s="38">
        <f>B151+F151+G151</f>
        <v/>
      </c>
      <c r="I151" s="38">
        <f>I150+(E151-F151)</f>
        <v/>
      </c>
      <c r="J151" s="38">
        <f>H151+I151</f>
        <v/>
      </c>
      <c r="K151" s="38">
        <f>(E151-F151)-D151+IF(A151=Horizon,H151,0)</f>
        <v/>
      </c>
    </row>
    <row r="152" ht="16" customHeight="1">
      <c r="A152" s="37" t="n">
        <v>147</v>
      </c>
      <c r="B152" s="38">
        <f>C152+D152</f>
        <v/>
      </c>
      <c r="C152" s="38">
        <f>H151</f>
        <v/>
      </c>
      <c r="D152" s="38">
        <f>Monthly</f>
        <v/>
      </c>
      <c r="E152" s="38">
        <f>B152*Yield_m</f>
        <v/>
      </c>
      <c r="F152" s="38">
        <f>IF(Reinvest="Sim",E152,0)</f>
        <v/>
      </c>
      <c r="G152" s="38">
        <f>(B152+F152)*Growth_m</f>
        <v/>
      </c>
      <c r="H152" s="38">
        <f>B152+F152+G152</f>
        <v/>
      </c>
      <c r="I152" s="38">
        <f>I151+(E152-F152)</f>
        <v/>
      </c>
      <c r="J152" s="38">
        <f>H152+I152</f>
        <v/>
      </c>
      <c r="K152" s="38">
        <f>(E152-F152)-D152+IF(A152=Horizon,H152,0)</f>
        <v/>
      </c>
    </row>
    <row r="153" ht="16" customHeight="1">
      <c r="A153" s="37" t="n">
        <v>148</v>
      </c>
      <c r="B153" s="38">
        <f>C153+D153</f>
        <v/>
      </c>
      <c r="C153" s="38">
        <f>H152</f>
        <v/>
      </c>
      <c r="D153" s="38">
        <f>Monthly</f>
        <v/>
      </c>
      <c r="E153" s="38">
        <f>B153*Yield_m</f>
        <v/>
      </c>
      <c r="F153" s="38">
        <f>IF(Reinvest="Sim",E153,0)</f>
        <v/>
      </c>
      <c r="G153" s="38">
        <f>(B153+F153)*Growth_m</f>
        <v/>
      </c>
      <c r="H153" s="38">
        <f>B153+F153+G153</f>
        <v/>
      </c>
      <c r="I153" s="38">
        <f>I152+(E153-F153)</f>
        <v/>
      </c>
      <c r="J153" s="38">
        <f>H153+I153</f>
        <v/>
      </c>
      <c r="K153" s="38">
        <f>(E153-F153)-D153+IF(A153=Horizon,H153,0)</f>
        <v/>
      </c>
    </row>
    <row r="154" ht="16" customHeight="1">
      <c r="A154" s="37" t="n">
        <v>149</v>
      </c>
      <c r="B154" s="38">
        <f>C154+D154</f>
        <v/>
      </c>
      <c r="C154" s="38">
        <f>H153</f>
        <v/>
      </c>
      <c r="D154" s="38">
        <f>Monthly</f>
        <v/>
      </c>
      <c r="E154" s="38">
        <f>B154*Yield_m</f>
        <v/>
      </c>
      <c r="F154" s="38">
        <f>IF(Reinvest="Sim",E154,0)</f>
        <v/>
      </c>
      <c r="G154" s="38">
        <f>(B154+F154)*Growth_m</f>
        <v/>
      </c>
      <c r="H154" s="38">
        <f>B154+F154+G154</f>
        <v/>
      </c>
      <c r="I154" s="38">
        <f>I153+(E154-F154)</f>
        <v/>
      </c>
      <c r="J154" s="38">
        <f>H154+I154</f>
        <v/>
      </c>
      <c r="K154" s="38">
        <f>(E154-F154)-D154+IF(A154=Horizon,H154,0)</f>
        <v/>
      </c>
    </row>
    <row r="155" ht="16" customHeight="1">
      <c r="A155" s="37" t="n">
        <v>150</v>
      </c>
      <c r="B155" s="38">
        <f>C155+D155</f>
        <v/>
      </c>
      <c r="C155" s="38">
        <f>H154</f>
        <v/>
      </c>
      <c r="D155" s="38">
        <f>Monthly</f>
        <v/>
      </c>
      <c r="E155" s="38">
        <f>B155*Yield_m</f>
        <v/>
      </c>
      <c r="F155" s="38">
        <f>IF(Reinvest="Sim",E155,0)</f>
        <v/>
      </c>
      <c r="G155" s="38">
        <f>(B155+F155)*Growth_m</f>
        <v/>
      </c>
      <c r="H155" s="38">
        <f>B155+F155+G155</f>
        <v/>
      </c>
      <c r="I155" s="38">
        <f>I154+(E155-F155)</f>
        <v/>
      </c>
      <c r="J155" s="38">
        <f>H155+I155</f>
        <v/>
      </c>
      <c r="K155" s="38">
        <f>(E155-F155)-D155+IF(A155=Horizon,H155,0)</f>
        <v/>
      </c>
    </row>
    <row r="156" ht="16" customHeight="1">
      <c r="A156" s="37" t="n">
        <v>151</v>
      </c>
      <c r="B156" s="38">
        <f>C156+D156</f>
        <v/>
      </c>
      <c r="C156" s="38">
        <f>H155</f>
        <v/>
      </c>
      <c r="D156" s="38">
        <f>Monthly</f>
        <v/>
      </c>
      <c r="E156" s="38">
        <f>B156*Yield_m</f>
        <v/>
      </c>
      <c r="F156" s="38">
        <f>IF(Reinvest="Sim",E156,0)</f>
        <v/>
      </c>
      <c r="G156" s="38">
        <f>(B156+F156)*Growth_m</f>
        <v/>
      </c>
      <c r="H156" s="38">
        <f>B156+F156+G156</f>
        <v/>
      </c>
      <c r="I156" s="38">
        <f>I155+(E156-F156)</f>
        <v/>
      </c>
      <c r="J156" s="38">
        <f>H156+I156</f>
        <v/>
      </c>
      <c r="K156" s="38">
        <f>(E156-F156)-D156+IF(A156=Horizon,H156,0)</f>
        <v/>
      </c>
    </row>
    <row r="157" ht="16" customHeight="1">
      <c r="A157" s="37" t="n">
        <v>152</v>
      </c>
      <c r="B157" s="38">
        <f>C157+D157</f>
        <v/>
      </c>
      <c r="C157" s="38">
        <f>H156</f>
        <v/>
      </c>
      <c r="D157" s="38">
        <f>Monthly</f>
        <v/>
      </c>
      <c r="E157" s="38">
        <f>B157*Yield_m</f>
        <v/>
      </c>
      <c r="F157" s="38">
        <f>IF(Reinvest="Sim",E157,0)</f>
        <v/>
      </c>
      <c r="G157" s="38">
        <f>(B157+F157)*Growth_m</f>
        <v/>
      </c>
      <c r="H157" s="38">
        <f>B157+F157+G157</f>
        <v/>
      </c>
      <c r="I157" s="38">
        <f>I156+(E157-F157)</f>
        <v/>
      </c>
      <c r="J157" s="38">
        <f>H157+I157</f>
        <v/>
      </c>
      <c r="K157" s="38">
        <f>(E157-F157)-D157+IF(A157=Horizon,H157,0)</f>
        <v/>
      </c>
    </row>
    <row r="158" ht="16" customHeight="1">
      <c r="A158" s="37" t="n">
        <v>153</v>
      </c>
      <c r="B158" s="38">
        <f>C158+D158</f>
        <v/>
      </c>
      <c r="C158" s="38">
        <f>H157</f>
        <v/>
      </c>
      <c r="D158" s="38">
        <f>Monthly</f>
        <v/>
      </c>
      <c r="E158" s="38">
        <f>B158*Yield_m</f>
        <v/>
      </c>
      <c r="F158" s="38">
        <f>IF(Reinvest="Sim",E158,0)</f>
        <v/>
      </c>
      <c r="G158" s="38">
        <f>(B158+F158)*Growth_m</f>
        <v/>
      </c>
      <c r="H158" s="38">
        <f>B158+F158+G158</f>
        <v/>
      </c>
      <c r="I158" s="38">
        <f>I157+(E158-F158)</f>
        <v/>
      </c>
      <c r="J158" s="38">
        <f>H158+I158</f>
        <v/>
      </c>
      <c r="K158" s="38">
        <f>(E158-F158)-D158+IF(A158=Horizon,H158,0)</f>
        <v/>
      </c>
    </row>
    <row r="159" ht="16" customHeight="1">
      <c r="A159" s="37" t="n">
        <v>154</v>
      </c>
      <c r="B159" s="38">
        <f>C159+D159</f>
        <v/>
      </c>
      <c r="C159" s="38">
        <f>H158</f>
        <v/>
      </c>
      <c r="D159" s="38">
        <f>Monthly</f>
        <v/>
      </c>
      <c r="E159" s="38">
        <f>B159*Yield_m</f>
        <v/>
      </c>
      <c r="F159" s="38">
        <f>IF(Reinvest="Sim",E159,0)</f>
        <v/>
      </c>
      <c r="G159" s="38">
        <f>(B159+F159)*Growth_m</f>
        <v/>
      </c>
      <c r="H159" s="38">
        <f>B159+F159+G159</f>
        <v/>
      </c>
      <c r="I159" s="38">
        <f>I158+(E159-F159)</f>
        <v/>
      </c>
      <c r="J159" s="38">
        <f>H159+I159</f>
        <v/>
      </c>
      <c r="K159" s="38">
        <f>(E159-F159)-D159+IF(A159=Horizon,H159,0)</f>
        <v/>
      </c>
    </row>
    <row r="160" ht="16" customHeight="1">
      <c r="A160" s="37" t="n">
        <v>155</v>
      </c>
      <c r="B160" s="38">
        <f>C160+D160</f>
        <v/>
      </c>
      <c r="C160" s="38">
        <f>H159</f>
        <v/>
      </c>
      <c r="D160" s="38">
        <f>Monthly</f>
        <v/>
      </c>
      <c r="E160" s="38">
        <f>B160*Yield_m</f>
        <v/>
      </c>
      <c r="F160" s="38">
        <f>IF(Reinvest="Sim",E160,0)</f>
        <v/>
      </c>
      <c r="G160" s="38">
        <f>(B160+F160)*Growth_m</f>
        <v/>
      </c>
      <c r="H160" s="38">
        <f>B160+F160+G160</f>
        <v/>
      </c>
      <c r="I160" s="38">
        <f>I159+(E160-F160)</f>
        <v/>
      </c>
      <c r="J160" s="38">
        <f>H160+I160</f>
        <v/>
      </c>
      <c r="K160" s="38">
        <f>(E160-F160)-D160+IF(A160=Horizon,H160,0)</f>
        <v/>
      </c>
    </row>
    <row r="161" ht="16" customHeight="1">
      <c r="A161" s="37" t="n">
        <v>156</v>
      </c>
      <c r="B161" s="38">
        <f>C161+D161</f>
        <v/>
      </c>
      <c r="C161" s="38">
        <f>H160</f>
        <v/>
      </c>
      <c r="D161" s="38">
        <f>Monthly</f>
        <v/>
      </c>
      <c r="E161" s="38">
        <f>B161*Yield_m</f>
        <v/>
      </c>
      <c r="F161" s="38">
        <f>IF(Reinvest="Sim",E161,0)</f>
        <v/>
      </c>
      <c r="G161" s="38">
        <f>(B161+F161)*Growth_m</f>
        <v/>
      </c>
      <c r="H161" s="38">
        <f>B161+F161+G161</f>
        <v/>
      </c>
      <c r="I161" s="38">
        <f>I160+(E161-F161)</f>
        <v/>
      </c>
      <c r="J161" s="38">
        <f>H161+I161</f>
        <v/>
      </c>
      <c r="K161" s="38">
        <f>(E161-F161)-D161+IF(A161=Horizon,H161,0)</f>
        <v/>
      </c>
    </row>
    <row r="162" ht="16" customHeight="1">
      <c r="A162" s="37" t="n">
        <v>157</v>
      </c>
      <c r="B162" s="38">
        <f>C162+D162</f>
        <v/>
      </c>
      <c r="C162" s="38">
        <f>H161</f>
        <v/>
      </c>
      <c r="D162" s="38">
        <f>Monthly</f>
        <v/>
      </c>
      <c r="E162" s="38">
        <f>B162*Yield_m</f>
        <v/>
      </c>
      <c r="F162" s="38">
        <f>IF(Reinvest="Sim",E162,0)</f>
        <v/>
      </c>
      <c r="G162" s="38">
        <f>(B162+F162)*Growth_m</f>
        <v/>
      </c>
      <c r="H162" s="38">
        <f>B162+F162+G162</f>
        <v/>
      </c>
      <c r="I162" s="38">
        <f>I161+(E162-F162)</f>
        <v/>
      </c>
      <c r="J162" s="38">
        <f>H162+I162</f>
        <v/>
      </c>
      <c r="K162" s="38">
        <f>(E162-F162)-D162+IF(A162=Horizon,H162,0)</f>
        <v/>
      </c>
    </row>
    <row r="163" ht="16" customHeight="1">
      <c r="A163" s="37" t="n">
        <v>158</v>
      </c>
      <c r="B163" s="38">
        <f>C163+D163</f>
        <v/>
      </c>
      <c r="C163" s="38">
        <f>H162</f>
        <v/>
      </c>
      <c r="D163" s="38">
        <f>Monthly</f>
        <v/>
      </c>
      <c r="E163" s="38">
        <f>B163*Yield_m</f>
        <v/>
      </c>
      <c r="F163" s="38">
        <f>IF(Reinvest="Sim",E163,0)</f>
        <v/>
      </c>
      <c r="G163" s="38">
        <f>(B163+F163)*Growth_m</f>
        <v/>
      </c>
      <c r="H163" s="38">
        <f>B163+F163+G163</f>
        <v/>
      </c>
      <c r="I163" s="38">
        <f>I162+(E163-F163)</f>
        <v/>
      </c>
      <c r="J163" s="38">
        <f>H163+I163</f>
        <v/>
      </c>
      <c r="K163" s="38">
        <f>(E163-F163)-D163+IF(A163=Horizon,H163,0)</f>
        <v/>
      </c>
    </row>
    <row r="164" ht="16" customHeight="1">
      <c r="A164" s="37" t="n">
        <v>159</v>
      </c>
      <c r="B164" s="38">
        <f>C164+D164</f>
        <v/>
      </c>
      <c r="C164" s="38">
        <f>H163</f>
        <v/>
      </c>
      <c r="D164" s="38">
        <f>Monthly</f>
        <v/>
      </c>
      <c r="E164" s="38">
        <f>B164*Yield_m</f>
        <v/>
      </c>
      <c r="F164" s="38">
        <f>IF(Reinvest="Sim",E164,0)</f>
        <v/>
      </c>
      <c r="G164" s="38">
        <f>(B164+F164)*Growth_m</f>
        <v/>
      </c>
      <c r="H164" s="38">
        <f>B164+F164+G164</f>
        <v/>
      </c>
      <c r="I164" s="38">
        <f>I163+(E164-F164)</f>
        <v/>
      </c>
      <c r="J164" s="38">
        <f>H164+I164</f>
        <v/>
      </c>
      <c r="K164" s="38">
        <f>(E164-F164)-D164+IF(A164=Horizon,H164,0)</f>
        <v/>
      </c>
    </row>
    <row r="165" ht="16" customHeight="1">
      <c r="A165" s="37" t="n">
        <v>160</v>
      </c>
      <c r="B165" s="38">
        <f>C165+D165</f>
        <v/>
      </c>
      <c r="C165" s="38">
        <f>H164</f>
        <v/>
      </c>
      <c r="D165" s="38">
        <f>Monthly</f>
        <v/>
      </c>
      <c r="E165" s="38">
        <f>B165*Yield_m</f>
        <v/>
      </c>
      <c r="F165" s="38">
        <f>IF(Reinvest="Sim",E165,0)</f>
        <v/>
      </c>
      <c r="G165" s="38">
        <f>(B165+F165)*Growth_m</f>
        <v/>
      </c>
      <c r="H165" s="38">
        <f>B165+F165+G165</f>
        <v/>
      </c>
      <c r="I165" s="38">
        <f>I164+(E165-F165)</f>
        <v/>
      </c>
      <c r="J165" s="38">
        <f>H165+I165</f>
        <v/>
      </c>
      <c r="K165" s="38">
        <f>(E165-F165)-D165+IF(A165=Horizon,H165,0)</f>
        <v/>
      </c>
    </row>
    <row r="166" ht="16" customHeight="1">
      <c r="A166" s="37" t="n">
        <v>161</v>
      </c>
      <c r="B166" s="38">
        <f>C166+D166</f>
        <v/>
      </c>
      <c r="C166" s="38">
        <f>H165</f>
        <v/>
      </c>
      <c r="D166" s="38">
        <f>Monthly</f>
        <v/>
      </c>
      <c r="E166" s="38">
        <f>B166*Yield_m</f>
        <v/>
      </c>
      <c r="F166" s="38">
        <f>IF(Reinvest="Sim",E166,0)</f>
        <v/>
      </c>
      <c r="G166" s="38">
        <f>(B166+F166)*Growth_m</f>
        <v/>
      </c>
      <c r="H166" s="38">
        <f>B166+F166+G166</f>
        <v/>
      </c>
      <c r="I166" s="38">
        <f>I165+(E166-F166)</f>
        <v/>
      </c>
      <c r="J166" s="38">
        <f>H166+I166</f>
        <v/>
      </c>
      <c r="K166" s="38">
        <f>(E166-F166)-D166+IF(A166=Horizon,H166,0)</f>
        <v/>
      </c>
    </row>
    <row r="167" ht="16" customHeight="1">
      <c r="A167" s="37" t="n">
        <v>162</v>
      </c>
      <c r="B167" s="38">
        <f>C167+D167</f>
        <v/>
      </c>
      <c r="C167" s="38">
        <f>H166</f>
        <v/>
      </c>
      <c r="D167" s="38">
        <f>Monthly</f>
        <v/>
      </c>
      <c r="E167" s="38">
        <f>B167*Yield_m</f>
        <v/>
      </c>
      <c r="F167" s="38">
        <f>IF(Reinvest="Sim",E167,0)</f>
        <v/>
      </c>
      <c r="G167" s="38">
        <f>(B167+F167)*Growth_m</f>
        <v/>
      </c>
      <c r="H167" s="38">
        <f>B167+F167+G167</f>
        <v/>
      </c>
      <c r="I167" s="38">
        <f>I166+(E167-F167)</f>
        <v/>
      </c>
      <c r="J167" s="38">
        <f>H167+I167</f>
        <v/>
      </c>
      <c r="K167" s="38">
        <f>(E167-F167)-D167+IF(A167=Horizon,H167,0)</f>
        <v/>
      </c>
    </row>
    <row r="168" ht="16" customHeight="1">
      <c r="A168" s="37" t="n">
        <v>163</v>
      </c>
      <c r="B168" s="38">
        <f>C168+D168</f>
        <v/>
      </c>
      <c r="C168" s="38">
        <f>H167</f>
        <v/>
      </c>
      <c r="D168" s="38">
        <f>Monthly</f>
        <v/>
      </c>
      <c r="E168" s="38">
        <f>B168*Yield_m</f>
        <v/>
      </c>
      <c r="F168" s="38">
        <f>IF(Reinvest="Sim",E168,0)</f>
        <v/>
      </c>
      <c r="G168" s="38">
        <f>(B168+F168)*Growth_m</f>
        <v/>
      </c>
      <c r="H168" s="38">
        <f>B168+F168+G168</f>
        <v/>
      </c>
      <c r="I168" s="38">
        <f>I167+(E168-F168)</f>
        <v/>
      </c>
      <c r="J168" s="38">
        <f>H168+I168</f>
        <v/>
      </c>
      <c r="K168" s="38">
        <f>(E168-F168)-D168+IF(A168=Horizon,H168,0)</f>
        <v/>
      </c>
    </row>
    <row r="169" ht="16" customHeight="1">
      <c r="A169" s="37" t="n">
        <v>164</v>
      </c>
      <c r="B169" s="38">
        <f>C169+D169</f>
        <v/>
      </c>
      <c r="C169" s="38">
        <f>H168</f>
        <v/>
      </c>
      <c r="D169" s="38">
        <f>Monthly</f>
        <v/>
      </c>
      <c r="E169" s="38">
        <f>B169*Yield_m</f>
        <v/>
      </c>
      <c r="F169" s="38">
        <f>IF(Reinvest="Sim",E169,0)</f>
        <v/>
      </c>
      <c r="G169" s="38">
        <f>(B169+F169)*Growth_m</f>
        <v/>
      </c>
      <c r="H169" s="38">
        <f>B169+F169+G169</f>
        <v/>
      </c>
      <c r="I169" s="38">
        <f>I168+(E169-F169)</f>
        <v/>
      </c>
      <c r="J169" s="38">
        <f>H169+I169</f>
        <v/>
      </c>
      <c r="K169" s="38">
        <f>(E169-F169)-D169+IF(A169=Horizon,H169,0)</f>
        <v/>
      </c>
    </row>
    <row r="170" ht="16" customHeight="1">
      <c r="A170" s="37" t="n">
        <v>165</v>
      </c>
      <c r="B170" s="38">
        <f>C170+D170</f>
        <v/>
      </c>
      <c r="C170" s="38">
        <f>H169</f>
        <v/>
      </c>
      <c r="D170" s="38">
        <f>Monthly</f>
        <v/>
      </c>
      <c r="E170" s="38">
        <f>B170*Yield_m</f>
        <v/>
      </c>
      <c r="F170" s="38">
        <f>IF(Reinvest="Sim",E170,0)</f>
        <v/>
      </c>
      <c r="G170" s="38">
        <f>(B170+F170)*Growth_m</f>
        <v/>
      </c>
      <c r="H170" s="38">
        <f>B170+F170+G170</f>
        <v/>
      </c>
      <c r="I170" s="38">
        <f>I169+(E170-F170)</f>
        <v/>
      </c>
      <c r="J170" s="38">
        <f>H170+I170</f>
        <v/>
      </c>
      <c r="K170" s="38">
        <f>(E170-F170)-D170+IF(A170=Horizon,H170,0)</f>
        <v/>
      </c>
    </row>
    <row r="171" ht="16" customHeight="1">
      <c r="A171" s="37" t="n">
        <v>166</v>
      </c>
      <c r="B171" s="38">
        <f>C171+D171</f>
        <v/>
      </c>
      <c r="C171" s="38">
        <f>H170</f>
        <v/>
      </c>
      <c r="D171" s="38">
        <f>Monthly</f>
        <v/>
      </c>
      <c r="E171" s="38">
        <f>B171*Yield_m</f>
        <v/>
      </c>
      <c r="F171" s="38">
        <f>IF(Reinvest="Sim",E171,0)</f>
        <v/>
      </c>
      <c r="G171" s="38">
        <f>(B171+F171)*Growth_m</f>
        <v/>
      </c>
      <c r="H171" s="38">
        <f>B171+F171+G171</f>
        <v/>
      </c>
      <c r="I171" s="38">
        <f>I170+(E171-F171)</f>
        <v/>
      </c>
      <c r="J171" s="38">
        <f>H171+I171</f>
        <v/>
      </c>
      <c r="K171" s="38">
        <f>(E171-F171)-D171+IF(A171=Horizon,H171,0)</f>
        <v/>
      </c>
    </row>
    <row r="172" ht="16" customHeight="1">
      <c r="A172" s="37" t="n">
        <v>167</v>
      </c>
      <c r="B172" s="38">
        <f>C172+D172</f>
        <v/>
      </c>
      <c r="C172" s="38">
        <f>H171</f>
        <v/>
      </c>
      <c r="D172" s="38">
        <f>Monthly</f>
        <v/>
      </c>
      <c r="E172" s="38">
        <f>B172*Yield_m</f>
        <v/>
      </c>
      <c r="F172" s="38">
        <f>IF(Reinvest="Sim",E172,0)</f>
        <v/>
      </c>
      <c r="G172" s="38">
        <f>(B172+F172)*Growth_m</f>
        <v/>
      </c>
      <c r="H172" s="38">
        <f>B172+F172+G172</f>
        <v/>
      </c>
      <c r="I172" s="38">
        <f>I171+(E172-F172)</f>
        <v/>
      </c>
      <c r="J172" s="38">
        <f>H172+I172</f>
        <v/>
      </c>
      <c r="K172" s="38">
        <f>(E172-F172)-D172+IF(A172=Horizon,H172,0)</f>
        <v/>
      </c>
    </row>
    <row r="173" ht="16" customHeight="1">
      <c r="A173" s="37" t="n">
        <v>168</v>
      </c>
      <c r="B173" s="38">
        <f>C173+D173</f>
        <v/>
      </c>
      <c r="C173" s="38">
        <f>H172</f>
        <v/>
      </c>
      <c r="D173" s="38">
        <f>Monthly</f>
        <v/>
      </c>
      <c r="E173" s="38">
        <f>B173*Yield_m</f>
        <v/>
      </c>
      <c r="F173" s="38">
        <f>IF(Reinvest="Sim",E173,0)</f>
        <v/>
      </c>
      <c r="G173" s="38">
        <f>(B173+F173)*Growth_m</f>
        <v/>
      </c>
      <c r="H173" s="38">
        <f>B173+F173+G173</f>
        <v/>
      </c>
      <c r="I173" s="38">
        <f>I172+(E173-F173)</f>
        <v/>
      </c>
      <c r="J173" s="38">
        <f>H173+I173</f>
        <v/>
      </c>
      <c r="K173" s="38">
        <f>(E173-F173)-D173+IF(A173=Horizon,H173,0)</f>
        <v/>
      </c>
    </row>
    <row r="174" ht="16" customHeight="1">
      <c r="A174" s="37" t="n">
        <v>169</v>
      </c>
      <c r="B174" s="38">
        <f>C174+D174</f>
        <v/>
      </c>
      <c r="C174" s="38">
        <f>H173</f>
        <v/>
      </c>
      <c r="D174" s="38">
        <f>Monthly</f>
        <v/>
      </c>
      <c r="E174" s="38">
        <f>B174*Yield_m</f>
        <v/>
      </c>
      <c r="F174" s="38">
        <f>IF(Reinvest="Sim",E174,0)</f>
        <v/>
      </c>
      <c r="G174" s="38">
        <f>(B174+F174)*Growth_m</f>
        <v/>
      </c>
      <c r="H174" s="38">
        <f>B174+F174+G174</f>
        <v/>
      </c>
      <c r="I174" s="38">
        <f>I173+(E174-F174)</f>
        <v/>
      </c>
      <c r="J174" s="38">
        <f>H174+I174</f>
        <v/>
      </c>
      <c r="K174" s="38">
        <f>(E174-F174)-D174+IF(A174=Horizon,H174,0)</f>
        <v/>
      </c>
    </row>
    <row r="175" ht="16" customHeight="1">
      <c r="A175" s="37" t="n">
        <v>170</v>
      </c>
      <c r="B175" s="38">
        <f>C175+D175</f>
        <v/>
      </c>
      <c r="C175" s="38">
        <f>H174</f>
        <v/>
      </c>
      <c r="D175" s="38">
        <f>Monthly</f>
        <v/>
      </c>
      <c r="E175" s="38">
        <f>B175*Yield_m</f>
        <v/>
      </c>
      <c r="F175" s="38">
        <f>IF(Reinvest="Sim",E175,0)</f>
        <v/>
      </c>
      <c r="G175" s="38">
        <f>(B175+F175)*Growth_m</f>
        <v/>
      </c>
      <c r="H175" s="38">
        <f>B175+F175+G175</f>
        <v/>
      </c>
      <c r="I175" s="38">
        <f>I174+(E175-F175)</f>
        <v/>
      </c>
      <c r="J175" s="38">
        <f>H175+I175</f>
        <v/>
      </c>
      <c r="K175" s="38">
        <f>(E175-F175)-D175+IF(A175=Horizon,H175,0)</f>
        <v/>
      </c>
    </row>
    <row r="176" ht="16" customHeight="1">
      <c r="A176" s="37" t="n">
        <v>171</v>
      </c>
      <c r="B176" s="38">
        <f>C176+D176</f>
        <v/>
      </c>
      <c r="C176" s="38">
        <f>H175</f>
        <v/>
      </c>
      <c r="D176" s="38">
        <f>Monthly</f>
        <v/>
      </c>
      <c r="E176" s="38">
        <f>B176*Yield_m</f>
        <v/>
      </c>
      <c r="F176" s="38">
        <f>IF(Reinvest="Sim",E176,0)</f>
        <v/>
      </c>
      <c r="G176" s="38">
        <f>(B176+F176)*Growth_m</f>
        <v/>
      </c>
      <c r="H176" s="38">
        <f>B176+F176+G176</f>
        <v/>
      </c>
      <c r="I176" s="38">
        <f>I175+(E176-F176)</f>
        <v/>
      </c>
      <c r="J176" s="38">
        <f>H176+I176</f>
        <v/>
      </c>
      <c r="K176" s="38">
        <f>(E176-F176)-D176+IF(A176=Horizon,H176,0)</f>
        <v/>
      </c>
    </row>
    <row r="177" ht="16" customHeight="1">
      <c r="A177" s="37" t="n">
        <v>172</v>
      </c>
      <c r="B177" s="38">
        <f>C177+D177</f>
        <v/>
      </c>
      <c r="C177" s="38">
        <f>H176</f>
        <v/>
      </c>
      <c r="D177" s="38">
        <f>Monthly</f>
        <v/>
      </c>
      <c r="E177" s="38">
        <f>B177*Yield_m</f>
        <v/>
      </c>
      <c r="F177" s="38">
        <f>IF(Reinvest="Sim",E177,0)</f>
        <v/>
      </c>
      <c r="G177" s="38">
        <f>(B177+F177)*Growth_m</f>
        <v/>
      </c>
      <c r="H177" s="38">
        <f>B177+F177+G177</f>
        <v/>
      </c>
      <c r="I177" s="38">
        <f>I176+(E177-F177)</f>
        <v/>
      </c>
      <c r="J177" s="38">
        <f>H177+I177</f>
        <v/>
      </c>
      <c r="K177" s="38">
        <f>(E177-F177)-D177+IF(A177=Horizon,H177,0)</f>
        <v/>
      </c>
    </row>
    <row r="178" ht="16" customHeight="1">
      <c r="A178" s="37" t="n">
        <v>173</v>
      </c>
      <c r="B178" s="38">
        <f>C178+D178</f>
        <v/>
      </c>
      <c r="C178" s="38">
        <f>H177</f>
        <v/>
      </c>
      <c r="D178" s="38">
        <f>Monthly</f>
        <v/>
      </c>
      <c r="E178" s="38">
        <f>B178*Yield_m</f>
        <v/>
      </c>
      <c r="F178" s="38">
        <f>IF(Reinvest="Sim",E178,0)</f>
        <v/>
      </c>
      <c r="G178" s="38">
        <f>(B178+F178)*Growth_m</f>
        <v/>
      </c>
      <c r="H178" s="38">
        <f>B178+F178+G178</f>
        <v/>
      </c>
      <c r="I178" s="38">
        <f>I177+(E178-F178)</f>
        <v/>
      </c>
      <c r="J178" s="38">
        <f>H178+I178</f>
        <v/>
      </c>
      <c r="K178" s="38">
        <f>(E178-F178)-D178+IF(A178=Horizon,H178,0)</f>
        <v/>
      </c>
    </row>
    <row r="179" ht="16" customHeight="1">
      <c r="A179" s="37" t="n">
        <v>174</v>
      </c>
      <c r="B179" s="38">
        <f>C179+D179</f>
        <v/>
      </c>
      <c r="C179" s="38">
        <f>H178</f>
        <v/>
      </c>
      <c r="D179" s="38">
        <f>Monthly</f>
        <v/>
      </c>
      <c r="E179" s="38">
        <f>B179*Yield_m</f>
        <v/>
      </c>
      <c r="F179" s="38">
        <f>IF(Reinvest="Sim",E179,0)</f>
        <v/>
      </c>
      <c r="G179" s="38">
        <f>(B179+F179)*Growth_m</f>
        <v/>
      </c>
      <c r="H179" s="38">
        <f>B179+F179+G179</f>
        <v/>
      </c>
      <c r="I179" s="38">
        <f>I178+(E179-F179)</f>
        <v/>
      </c>
      <c r="J179" s="38">
        <f>H179+I179</f>
        <v/>
      </c>
      <c r="K179" s="38">
        <f>(E179-F179)-D179+IF(A179=Horizon,H179,0)</f>
        <v/>
      </c>
    </row>
    <row r="180" ht="16" customHeight="1">
      <c r="A180" s="37" t="n">
        <v>175</v>
      </c>
      <c r="B180" s="38">
        <f>C180+D180</f>
        <v/>
      </c>
      <c r="C180" s="38">
        <f>H179</f>
        <v/>
      </c>
      <c r="D180" s="38">
        <f>Monthly</f>
        <v/>
      </c>
      <c r="E180" s="38">
        <f>B180*Yield_m</f>
        <v/>
      </c>
      <c r="F180" s="38">
        <f>IF(Reinvest="Sim",E180,0)</f>
        <v/>
      </c>
      <c r="G180" s="38">
        <f>(B180+F180)*Growth_m</f>
        <v/>
      </c>
      <c r="H180" s="38">
        <f>B180+F180+G180</f>
        <v/>
      </c>
      <c r="I180" s="38">
        <f>I179+(E180-F180)</f>
        <v/>
      </c>
      <c r="J180" s="38">
        <f>H180+I180</f>
        <v/>
      </c>
      <c r="K180" s="38">
        <f>(E180-F180)-D180+IF(A180=Horizon,H180,0)</f>
        <v/>
      </c>
    </row>
    <row r="181" ht="16" customHeight="1">
      <c r="A181" s="37" t="n">
        <v>176</v>
      </c>
      <c r="B181" s="38">
        <f>C181+D181</f>
        <v/>
      </c>
      <c r="C181" s="38">
        <f>H180</f>
        <v/>
      </c>
      <c r="D181" s="38">
        <f>Monthly</f>
        <v/>
      </c>
      <c r="E181" s="38">
        <f>B181*Yield_m</f>
        <v/>
      </c>
      <c r="F181" s="38">
        <f>IF(Reinvest="Sim",E181,0)</f>
        <v/>
      </c>
      <c r="G181" s="38">
        <f>(B181+F181)*Growth_m</f>
        <v/>
      </c>
      <c r="H181" s="38">
        <f>B181+F181+G181</f>
        <v/>
      </c>
      <c r="I181" s="38">
        <f>I180+(E181-F181)</f>
        <v/>
      </c>
      <c r="J181" s="38">
        <f>H181+I181</f>
        <v/>
      </c>
      <c r="K181" s="38">
        <f>(E181-F181)-D181+IF(A181=Horizon,H181,0)</f>
        <v/>
      </c>
    </row>
    <row r="182" ht="16" customHeight="1">
      <c r="A182" s="37" t="n">
        <v>177</v>
      </c>
      <c r="B182" s="38">
        <f>C182+D182</f>
        <v/>
      </c>
      <c r="C182" s="38">
        <f>H181</f>
        <v/>
      </c>
      <c r="D182" s="38">
        <f>Monthly</f>
        <v/>
      </c>
      <c r="E182" s="38">
        <f>B182*Yield_m</f>
        <v/>
      </c>
      <c r="F182" s="38">
        <f>IF(Reinvest="Sim",E182,0)</f>
        <v/>
      </c>
      <c r="G182" s="38">
        <f>(B182+F182)*Growth_m</f>
        <v/>
      </c>
      <c r="H182" s="38">
        <f>B182+F182+G182</f>
        <v/>
      </c>
      <c r="I182" s="38">
        <f>I181+(E182-F182)</f>
        <v/>
      </c>
      <c r="J182" s="38">
        <f>H182+I182</f>
        <v/>
      </c>
      <c r="K182" s="38">
        <f>(E182-F182)-D182+IF(A182=Horizon,H182,0)</f>
        <v/>
      </c>
    </row>
    <row r="183" ht="16" customHeight="1">
      <c r="A183" s="37" t="n">
        <v>178</v>
      </c>
      <c r="B183" s="38">
        <f>C183+D183</f>
        <v/>
      </c>
      <c r="C183" s="38">
        <f>H182</f>
        <v/>
      </c>
      <c r="D183" s="38">
        <f>Monthly</f>
        <v/>
      </c>
      <c r="E183" s="38">
        <f>B183*Yield_m</f>
        <v/>
      </c>
      <c r="F183" s="38">
        <f>IF(Reinvest="Sim",E183,0)</f>
        <v/>
      </c>
      <c r="G183" s="38">
        <f>(B183+F183)*Growth_m</f>
        <v/>
      </c>
      <c r="H183" s="38">
        <f>B183+F183+G183</f>
        <v/>
      </c>
      <c r="I183" s="38">
        <f>I182+(E183-F183)</f>
        <v/>
      </c>
      <c r="J183" s="38">
        <f>H183+I183</f>
        <v/>
      </c>
      <c r="K183" s="38">
        <f>(E183-F183)-D183+IF(A183=Horizon,H183,0)</f>
        <v/>
      </c>
    </row>
    <row r="184" ht="16" customHeight="1">
      <c r="A184" s="37" t="n">
        <v>179</v>
      </c>
      <c r="B184" s="38">
        <f>C184+D184</f>
        <v/>
      </c>
      <c r="C184" s="38">
        <f>H183</f>
        <v/>
      </c>
      <c r="D184" s="38">
        <f>Monthly</f>
        <v/>
      </c>
      <c r="E184" s="38">
        <f>B184*Yield_m</f>
        <v/>
      </c>
      <c r="F184" s="38">
        <f>IF(Reinvest="Sim",E184,0)</f>
        <v/>
      </c>
      <c r="G184" s="38">
        <f>(B184+F184)*Growth_m</f>
        <v/>
      </c>
      <c r="H184" s="38">
        <f>B184+F184+G184</f>
        <v/>
      </c>
      <c r="I184" s="38">
        <f>I183+(E184-F184)</f>
        <v/>
      </c>
      <c r="J184" s="38">
        <f>H184+I184</f>
        <v/>
      </c>
      <c r="K184" s="38">
        <f>(E184-F184)-D184+IF(A184=Horizon,H184,0)</f>
        <v/>
      </c>
    </row>
    <row r="185" ht="16" customHeight="1">
      <c r="A185" s="37" t="n">
        <v>180</v>
      </c>
      <c r="B185" s="38">
        <f>C185+D185</f>
        <v/>
      </c>
      <c r="C185" s="38">
        <f>H184</f>
        <v/>
      </c>
      <c r="D185" s="38">
        <f>Monthly</f>
        <v/>
      </c>
      <c r="E185" s="38">
        <f>B185*Yield_m</f>
        <v/>
      </c>
      <c r="F185" s="38">
        <f>IF(Reinvest="Sim",E185,0)</f>
        <v/>
      </c>
      <c r="G185" s="38">
        <f>(B185+F185)*Growth_m</f>
        <v/>
      </c>
      <c r="H185" s="38">
        <f>B185+F185+G185</f>
        <v/>
      </c>
      <c r="I185" s="38">
        <f>I184+(E185-F185)</f>
        <v/>
      </c>
      <c r="J185" s="38">
        <f>H185+I185</f>
        <v/>
      </c>
      <c r="K185" s="38">
        <f>(E185-F185)-D185+IF(A185=Horizon,H185,0)</f>
        <v/>
      </c>
    </row>
    <row r="186" ht="16" customHeight="1">
      <c r="A186" s="37" t="n">
        <v>181</v>
      </c>
      <c r="B186" s="38">
        <f>C186+D186</f>
        <v/>
      </c>
      <c r="C186" s="38">
        <f>H185</f>
        <v/>
      </c>
      <c r="D186" s="38">
        <f>Monthly</f>
        <v/>
      </c>
      <c r="E186" s="38">
        <f>B186*Yield_m</f>
        <v/>
      </c>
      <c r="F186" s="38">
        <f>IF(Reinvest="Sim",E186,0)</f>
        <v/>
      </c>
      <c r="G186" s="38">
        <f>(B186+F186)*Growth_m</f>
        <v/>
      </c>
      <c r="H186" s="38">
        <f>B186+F186+G186</f>
        <v/>
      </c>
      <c r="I186" s="38">
        <f>I185+(E186-F186)</f>
        <v/>
      </c>
      <c r="J186" s="38">
        <f>H186+I186</f>
        <v/>
      </c>
      <c r="K186" s="38">
        <f>(E186-F186)-D186+IF(A186=Horizon,H186,0)</f>
        <v/>
      </c>
    </row>
    <row r="187" ht="16" customHeight="1">
      <c r="A187" s="37" t="n">
        <v>182</v>
      </c>
      <c r="B187" s="38">
        <f>C187+D187</f>
        <v/>
      </c>
      <c r="C187" s="38">
        <f>H186</f>
        <v/>
      </c>
      <c r="D187" s="38">
        <f>Monthly</f>
        <v/>
      </c>
      <c r="E187" s="38">
        <f>B187*Yield_m</f>
        <v/>
      </c>
      <c r="F187" s="38">
        <f>IF(Reinvest="Sim",E187,0)</f>
        <v/>
      </c>
      <c r="G187" s="38">
        <f>(B187+F187)*Growth_m</f>
        <v/>
      </c>
      <c r="H187" s="38">
        <f>B187+F187+G187</f>
        <v/>
      </c>
      <c r="I187" s="38">
        <f>I186+(E187-F187)</f>
        <v/>
      </c>
      <c r="J187" s="38">
        <f>H187+I187</f>
        <v/>
      </c>
      <c r="K187" s="38">
        <f>(E187-F187)-D187+IF(A187=Horizon,H187,0)</f>
        <v/>
      </c>
    </row>
    <row r="188" ht="16" customHeight="1">
      <c r="A188" s="37" t="n">
        <v>183</v>
      </c>
      <c r="B188" s="38">
        <f>C188+D188</f>
        <v/>
      </c>
      <c r="C188" s="38">
        <f>H187</f>
        <v/>
      </c>
      <c r="D188" s="38">
        <f>Monthly</f>
        <v/>
      </c>
      <c r="E188" s="38">
        <f>B188*Yield_m</f>
        <v/>
      </c>
      <c r="F188" s="38">
        <f>IF(Reinvest="Sim",E188,0)</f>
        <v/>
      </c>
      <c r="G188" s="38">
        <f>(B188+F188)*Growth_m</f>
        <v/>
      </c>
      <c r="H188" s="38">
        <f>B188+F188+G188</f>
        <v/>
      </c>
      <c r="I188" s="38">
        <f>I187+(E188-F188)</f>
        <v/>
      </c>
      <c r="J188" s="38">
        <f>H188+I188</f>
        <v/>
      </c>
      <c r="K188" s="38">
        <f>(E188-F188)-D188+IF(A188=Horizon,H188,0)</f>
        <v/>
      </c>
    </row>
    <row r="189" ht="16" customHeight="1">
      <c r="A189" s="37" t="n">
        <v>184</v>
      </c>
      <c r="B189" s="38">
        <f>C189+D189</f>
        <v/>
      </c>
      <c r="C189" s="38">
        <f>H188</f>
        <v/>
      </c>
      <c r="D189" s="38">
        <f>Monthly</f>
        <v/>
      </c>
      <c r="E189" s="38">
        <f>B189*Yield_m</f>
        <v/>
      </c>
      <c r="F189" s="38">
        <f>IF(Reinvest="Sim",E189,0)</f>
        <v/>
      </c>
      <c r="G189" s="38">
        <f>(B189+F189)*Growth_m</f>
        <v/>
      </c>
      <c r="H189" s="38">
        <f>B189+F189+G189</f>
        <v/>
      </c>
      <c r="I189" s="38">
        <f>I188+(E189-F189)</f>
        <v/>
      </c>
      <c r="J189" s="38">
        <f>H189+I189</f>
        <v/>
      </c>
      <c r="K189" s="38">
        <f>(E189-F189)-D189+IF(A189=Horizon,H189,0)</f>
        <v/>
      </c>
    </row>
    <row r="190" ht="16" customHeight="1">
      <c r="A190" s="37" t="n">
        <v>185</v>
      </c>
      <c r="B190" s="38">
        <f>C190+D190</f>
        <v/>
      </c>
      <c r="C190" s="38">
        <f>H189</f>
        <v/>
      </c>
      <c r="D190" s="38">
        <f>Monthly</f>
        <v/>
      </c>
      <c r="E190" s="38">
        <f>B190*Yield_m</f>
        <v/>
      </c>
      <c r="F190" s="38">
        <f>IF(Reinvest="Sim",E190,0)</f>
        <v/>
      </c>
      <c r="G190" s="38">
        <f>(B190+F190)*Growth_m</f>
        <v/>
      </c>
      <c r="H190" s="38">
        <f>B190+F190+G190</f>
        <v/>
      </c>
      <c r="I190" s="38">
        <f>I189+(E190-F190)</f>
        <v/>
      </c>
      <c r="J190" s="38">
        <f>H190+I190</f>
        <v/>
      </c>
      <c r="K190" s="38">
        <f>(E190-F190)-D190+IF(A190=Horizon,H190,0)</f>
        <v/>
      </c>
    </row>
    <row r="191" ht="16" customHeight="1">
      <c r="A191" s="37" t="n">
        <v>186</v>
      </c>
      <c r="B191" s="38">
        <f>C191+D191</f>
        <v/>
      </c>
      <c r="C191" s="38">
        <f>H190</f>
        <v/>
      </c>
      <c r="D191" s="38">
        <f>Monthly</f>
        <v/>
      </c>
      <c r="E191" s="38">
        <f>B191*Yield_m</f>
        <v/>
      </c>
      <c r="F191" s="38">
        <f>IF(Reinvest="Sim",E191,0)</f>
        <v/>
      </c>
      <c r="G191" s="38">
        <f>(B191+F191)*Growth_m</f>
        <v/>
      </c>
      <c r="H191" s="38">
        <f>B191+F191+G191</f>
        <v/>
      </c>
      <c r="I191" s="38">
        <f>I190+(E191-F191)</f>
        <v/>
      </c>
      <c r="J191" s="38">
        <f>H191+I191</f>
        <v/>
      </c>
      <c r="K191" s="38">
        <f>(E191-F191)-D191+IF(A191=Horizon,H191,0)</f>
        <v/>
      </c>
    </row>
    <row r="192" ht="16" customHeight="1">
      <c r="A192" s="37" t="n">
        <v>187</v>
      </c>
      <c r="B192" s="38">
        <f>C192+D192</f>
        <v/>
      </c>
      <c r="C192" s="38">
        <f>H191</f>
        <v/>
      </c>
      <c r="D192" s="38">
        <f>Monthly</f>
        <v/>
      </c>
      <c r="E192" s="38">
        <f>B192*Yield_m</f>
        <v/>
      </c>
      <c r="F192" s="38">
        <f>IF(Reinvest="Sim",E192,0)</f>
        <v/>
      </c>
      <c r="G192" s="38">
        <f>(B192+F192)*Growth_m</f>
        <v/>
      </c>
      <c r="H192" s="38">
        <f>B192+F192+G192</f>
        <v/>
      </c>
      <c r="I192" s="38">
        <f>I191+(E192-F192)</f>
        <v/>
      </c>
      <c r="J192" s="38">
        <f>H192+I192</f>
        <v/>
      </c>
      <c r="K192" s="38">
        <f>(E192-F192)-D192+IF(A192=Horizon,H192,0)</f>
        <v/>
      </c>
    </row>
    <row r="193" ht="16" customHeight="1">
      <c r="A193" s="37" t="n">
        <v>188</v>
      </c>
      <c r="B193" s="38">
        <f>C193+D193</f>
        <v/>
      </c>
      <c r="C193" s="38">
        <f>H192</f>
        <v/>
      </c>
      <c r="D193" s="38">
        <f>Monthly</f>
        <v/>
      </c>
      <c r="E193" s="38">
        <f>B193*Yield_m</f>
        <v/>
      </c>
      <c r="F193" s="38">
        <f>IF(Reinvest="Sim",E193,0)</f>
        <v/>
      </c>
      <c r="G193" s="38">
        <f>(B193+F193)*Growth_m</f>
        <v/>
      </c>
      <c r="H193" s="38">
        <f>B193+F193+G193</f>
        <v/>
      </c>
      <c r="I193" s="38">
        <f>I192+(E193-F193)</f>
        <v/>
      </c>
      <c r="J193" s="38">
        <f>H193+I193</f>
        <v/>
      </c>
      <c r="K193" s="38">
        <f>(E193-F193)-D193+IF(A193=Horizon,H193,0)</f>
        <v/>
      </c>
    </row>
    <row r="194" ht="16" customHeight="1">
      <c r="A194" s="37" t="n">
        <v>189</v>
      </c>
      <c r="B194" s="38">
        <f>C194+D194</f>
        <v/>
      </c>
      <c r="C194" s="38">
        <f>H193</f>
        <v/>
      </c>
      <c r="D194" s="38">
        <f>Monthly</f>
        <v/>
      </c>
      <c r="E194" s="38">
        <f>B194*Yield_m</f>
        <v/>
      </c>
      <c r="F194" s="38">
        <f>IF(Reinvest="Sim",E194,0)</f>
        <v/>
      </c>
      <c r="G194" s="38">
        <f>(B194+F194)*Growth_m</f>
        <v/>
      </c>
      <c r="H194" s="38">
        <f>B194+F194+G194</f>
        <v/>
      </c>
      <c r="I194" s="38">
        <f>I193+(E194-F194)</f>
        <v/>
      </c>
      <c r="J194" s="38">
        <f>H194+I194</f>
        <v/>
      </c>
      <c r="K194" s="38">
        <f>(E194-F194)-D194+IF(A194=Horizon,H194,0)</f>
        <v/>
      </c>
    </row>
    <row r="195" ht="16" customHeight="1">
      <c r="A195" s="37" t="n">
        <v>190</v>
      </c>
      <c r="B195" s="38">
        <f>C195+D195</f>
        <v/>
      </c>
      <c r="C195" s="38">
        <f>H194</f>
        <v/>
      </c>
      <c r="D195" s="38">
        <f>Monthly</f>
        <v/>
      </c>
      <c r="E195" s="38">
        <f>B195*Yield_m</f>
        <v/>
      </c>
      <c r="F195" s="38">
        <f>IF(Reinvest="Sim",E195,0)</f>
        <v/>
      </c>
      <c r="G195" s="38">
        <f>(B195+F195)*Growth_m</f>
        <v/>
      </c>
      <c r="H195" s="38">
        <f>B195+F195+G195</f>
        <v/>
      </c>
      <c r="I195" s="38">
        <f>I194+(E195-F195)</f>
        <v/>
      </c>
      <c r="J195" s="38">
        <f>H195+I195</f>
        <v/>
      </c>
      <c r="K195" s="38">
        <f>(E195-F195)-D195+IF(A195=Horizon,H195,0)</f>
        <v/>
      </c>
    </row>
    <row r="196" ht="16" customHeight="1">
      <c r="A196" s="37" t="n">
        <v>191</v>
      </c>
      <c r="B196" s="38">
        <f>C196+D196</f>
        <v/>
      </c>
      <c r="C196" s="38">
        <f>H195</f>
        <v/>
      </c>
      <c r="D196" s="38">
        <f>Monthly</f>
        <v/>
      </c>
      <c r="E196" s="38">
        <f>B196*Yield_m</f>
        <v/>
      </c>
      <c r="F196" s="38">
        <f>IF(Reinvest="Sim",E196,0)</f>
        <v/>
      </c>
      <c r="G196" s="38">
        <f>(B196+F196)*Growth_m</f>
        <v/>
      </c>
      <c r="H196" s="38">
        <f>B196+F196+G196</f>
        <v/>
      </c>
      <c r="I196" s="38">
        <f>I195+(E196-F196)</f>
        <v/>
      </c>
      <c r="J196" s="38">
        <f>H196+I196</f>
        <v/>
      </c>
      <c r="K196" s="38">
        <f>(E196-F196)-D196+IF(A196=Horizon,H196,0)</f>
        <v/>
      </c>
    </row>
    <row r="197" ht="16" customHeight="1">
      <c r="A197" s="37" t="n">
        <v>192</v>
      </c>
      <c r="B197" s="38">
        <f>C197+D197</f>
        <v/>
      </c>
      <c r="C197" s="38">
        <f>H196</f>
        <v/>
      </c>
      <c r="D197" s="38">
        <f>Monthly</f>
        <v/>
      </c>
      <c r="E197" s="38">
        <f>B197*Yield_m</f>
        <v/>
      </c>
      <c r="F197" s="38">
        <f>IF(Reinvest="Sim",E197,0)</f>
        <v/>
      </c>
      <c r="G197" s="38">
        <f>(B197+F197)*Growth_m</f>
        <v/>
      </c>
      <c r="H197" s="38">
        <f>B197+F197+G197</f>
        <v/>
      </c>
      <c r="I197" s="38">
        <f>I196+(E197-F197)</f>
        <v/>
      </c>
      <c r="J197" s="38">
        <f>H197+I197</f>
        <v/>
      </c>
      <c r="K197" s="38">
        <f>(E197-F197)-D197+IF(A197=Horizon,H197,0)</f>
        <v/>
      </c>
    </row>
    <row r="198" ht="16" customHeight="1">
      <c r="A198" s="37" t="n">
        <v>193</v>
      </c>
      <c r="B198" s="38">
        <f>C198+D198</f>
        <v/>
      </c>
      <c r="C198" s="38">
        <f>H197</f>
        <v/>
      </c>
      <c r="D198" s="38">
        <f>Monthly</f>
        <v/>
      </c>
      <c r="E198" s="38">
        <f>B198*Yield_m</f>
        <v/>
      </c>
      <c r="F198" s="38">
        <f>IF(Reinvest="Sim",E198,0)</f>
        <v/>
      </c>
      <c r="G198" s="38">
        <f>(B198+F198)*Growth_m</f>
        <v/>
      </c>
      <c r="H198" s="38">
        <f>B198+F198+G198</f>
        <v/>
      </c>
      <c r="I198" s="38">
        <f>I197+(E198-F198)</f>
        <v/>
      </c>
      <c r="J198" s="38">
        <f>H198+I198</f>
        <v/>
      </c>
      <c r="K198" s="38">
        <f>(E198-F198)-D198+IF(A198=Horizon,H198,0)</f>
        <v/>
      </c>
    </row>
    <row r="199" ht="16" customHeight="1">
      <c r="A199" s="37" t="n">
        <v>194</v>
      </c>
      <c r="B199" s="38">
        <f>C199+D199</f>
        <v/>
      </c>
      <c r="C199" s="38">
        <f>H198</f>
        <v/>
      </c>
      <c r="D199" s="38">
        <f>Monthly</f>
        <v/>
      </c>
      <c r="E199" s="38">
        <f>B199*Yield_m</f>
        <v/>
      </c>
      <c r="F199" s="38">
        <f>IF(Reinvest="Sim",E199,0)</f>
        <v/>
      </c>
      <c r="G199" s="38">
        <f>(B199+F199)*Growth_m</f>
        <v/>
      </c>
      <c r="H199" s="38">
        <f>B199+F199+G199</f>
        <v/>
      </c>
      <c r="I199" s="38">
        <f>I198+(E199-F199)</f>
        <v/>
      </c>
      <c r="J199" s="38">
        <f>H199+I199</f>
        <v/>
      </c>
      <c r="K199" s="38">
        <f>(E199-F199)-D199+IF(A199=Horizon,H199,0)</f>
        <v/>
      </c>
    </row>
    <row r="200" ht="16" customHeight="1">
      <c r="A200" s="37" t="n">
        <v>195</v>
      </c>
      <c r="B200" s="38">
        <f>C200+D200</f>
        <v/>
      </c>
      <c r="C200" s="38">
        <f>H199</f>
        <v/>
      </c>
      <c r="D200" s="38">
        <f>Monthly</f>
        <v/>
      </c>
      <c r="E200" s="38">
        <f>B200*Yield_m</f>
        <v/>
      </c>
      <c r="F200" s="38">
        <f>IF(Reinvest="Sim",E200,0)</f>
        <v/>
      </c>
      <c r="G200" s="38">
        <f>(B200+F200)*Growth_m</f>
        <v/>
      </c>
      <c r="H200" s="38">
        <f>B200+F200+G200</f>
        <v/>
      </c>
      <c r="I200" s="38">
        <f>I199+(E200-F200)</f>
        <v/>
      </c>
      <c r="J200" s="38">
        <f>H200+I200</f>
        <v/>
      </c>
      <c r="K200" s="38">
        <f>(E200-F200)-D200+IF(A200=Horizon,H200,0)</f>
        <v/>
      </c>
    </row>
    <row r="201" ht="16" customHeight="1">
      <c r="A201" s="37" t="n">
        <v>196</v>
      </c>
      <c r="B201" s="38">
        <f>C201+D201</f>
        <v/>
      </c>
      <c r="C201" s="38">
        <f>H200</f>
        <v/>
      </c>
      <c r="D201" s="38">
        <f>Monthly</f>
        <v/>
      </c>
      <c r="E201" s="38">
        <f>B201*Yield_m</f>
        <v/>
      </c>
      <c r="F201" s="38">
        <f>IF(Reinvest="Sim",E201,0)</f>
        <v/>
      </c>
      <c r="G201" s="38">
        <f>(B201+F201)*Growth_m</f>
        <v/>
      </c>
      <c r="H201" s="38">
        <f>B201+F201+G201</f>
        <v/>
      </c>
      <c r="I201" s="38">
        <f>I200+(E201-F201)</f>
        <v/>
      </c>
      <c r="J201" s="38">
        <f>H201+I201</f>
        <v/>
      </c>
      <c r="K201" s="38">
        <f>(E201-F201)-D201+IF(A201=Horizon,H201,0)</f>
        <v/>
      </c>
    </row>
    <row r="202" ht="16" customHeight="1">
      <c r="A202" s="37" t="n">
        <v>197</v>
      </c>
      <c r="B202" s="38">
        <f>C202+D202</f>
        <v/>
      </c>
      <c r="C202" s="38">
        <f>H201</f>
        <v/>
      </c>
      <c r="D202" s="38">
        <f>Monthly</f>
        <v/>
      </c>
      <c r="E202" s="38">
        <f>B202*Yield_m</f>
        <v/>
      </c>
      <c r="F202" s="38">
        <f>IF(Reinvest="Sim",E202,0)</f>
        <v/>
      </c>
      <c r="G202" s="38">
        <f>(B202+F202)*Growth_m</f>
        <v/>
      </c>
      <c r="H202" s="38">
        <f>B202+F202+G202</f>
        <v/>
      </c>
      <c r="I202" s="38">
        <f>I201+(E202-F202)</f>
        <v/>
      </c>
      <c r="J202" s="38">
        <f>H202+I202</f>
        <v/>
      </c>
      <c r="K202" s="38">
        <f>(E202-F202)-D202+IF(A202=Horizon,H202,0)</f>
        <v/>
      </c>
    </row>
    <row r="203" ht="16" customHeight="1">
      <c r="A203" s="37" t="n">
        <v>198</v>
      </c>
      <c r="B203" s="38">
        <f>C203+D203</f>
        <v/>
      </c>
      <c r="C203" s="38">
        <f>H202</f>
        <v/>
      </c>
      <c r="D203" s="38">
        <f>Monthly</f>
        <v/>
      </c>
      <c r="E203" s="38">
        <f>B203*Yield_m</f>
        <v/>
      </c>
      <c r="F203" s="38">
        <f>IF(Reinvest="Sim",E203,0)</f>
        <v/>
      </c>
      <c r="G203" s="38">
        <f>(B203+F203)*Growth_m</f>
        <v/>
      </c>
      <c r="H203" s="38">
        <f>B203+F203+G203</f>
        <v/>
      </c>
      <c r="I203" s="38">
        <f>I202+(E203-F203)</f>
        <v/>
      </c>
      <c r="J203" s="38">
        <f>H203+I203</f>
        <v/>
      </c>
      <c r="K203" s="38">
        <f>(E203-F203)-D203+IF(A203=Horizon,H203,0)</f>
        <v/>
      </c>
    </row>
    <row r="204" ht="16" customHeight="1">
      <c r="A204" s="37" t="n">
        <v>199</v>
      </c>
      <c r="B204" s="38">
        <f>C204+D204</f>
        <v/>
      </c>
      <c r="C204" s="38">
        <f>H203</f>
        <v/>
      </c>
      <c r="D204" s="38">
        <f>Monthly</f>
        <v/>
      </c>
      <c r="E204" s="38">
        <f>B204*Yield_m</f>
        <v/>
      </c>
      <c r="F204" s="38">
        <f>IF(Reinvest="Sim",E204,0)</f>
        <v/>
      </c>
      <c r="G204" s="38">
        <f>(B204+F204)*Growth_m</f>
        <v/>
      </c>
      <c r="H204" s="38">
        <f>B204+F204+G204</f>
        <v/>
      </c>
      <c r="I204" s="38">
        <f>I203+(E204-F204)</f>
        <v/>
      </c>
      <c r="J204" s="38">
        <f>H204+I204</f>
        <v/>
      </c>
      <c r="K204" s="38">
        <f>(E204-F204)-D204+IF(A204=Horizon,H204,0)</f>
        <v/>
      </c>
    </row>
    <row r="205" ht="16" customHeight="1">
      <c r="A205" s="37" t="n">
        <v>200</v>
      </c>
      <c r="B205" s="38">
        <f>C205+D205</f>
        <v/>
      </c>
      <c r="C205" s="38">
        <f>H204</f>
        <v/>
      </c>
      <c r="D205" s="38">
        <f>Monthly</f>
        <v/>
      </c>
      <c r="E205" s="38">
        <f>B205*Yield_m</f>
        <v/>
      </c>
      <c r="F205" s="38">
        <f>IF(Reinvest="Sim",E205,0)</f>
        <v/>
      </c>
      <c r="G205" s="38">
        <f>(B205+F205)*Growth_m</f>
        <v/>
      </c>
      <c r="H205" s="38">
        <f>B205+F205+G205</f>
        <v/>
      </c>
      <c r="I205" s="38">
        <f>I204+(E205-F205)</f>
        <v/>
      </c>
      <c r="J205" s="38">
        <f>H205+I205</f>
        <v/>
      </c>
      <c r="K205" s="38">
        <f>(E205-F205)-D205+IF(A205=Horizon,H205,0)</f>
        <v/>
      </c>
    </row>
    <row r="206" ht="16" customHeight="1">
      <c r="A206" s="37" t="n">
        <v>201</v>
      </c>
      <c r="B206" s="38">
        <f>C206+D206</f>
        <v/>
      </c>
      <c r="C206" s="38">
        <f>H205</f>
        <v/>
      </c>
      <c r="D206" s="38">
        <f>Monthly</f>
        <v/>
      </c>
      <c r="E206" s="38">
        <f>B206*Yield_m</f>
        <v/>
      </c>
      <c r="F206" s="38">
        <f>IF(Reinvest="Sim",E206,0)</f>
        <v/>
      </c>
      <c r="G206" s="38">
        <f>(B206+F206)*Growth_m</f>
        <v/>
      </c>
      <c r="H206" s="38">
        <f>B206+F206+G206</f>
        <v/>
      </c>
      <c r="I206" s="38">
        <f>I205+(E206-F206)</f>
        <v/>
      </c>
      <c r="J206" s="38">
        <f>H206+I206</f>
        <v/>
      </c>
      <c r="K206" s="38">
        <f>(E206-F206)-D206+IF(A206=Horizon,H206,0)</f>
        <v/>
      </c>
    </row>
    <row r="207" ht="16" customHeight="1">
      <c r="A207" s="37" t="n">
        <v>202</v>
      </c>
      <c r="B207" s="38">
        <f>C207+D207</f>
        <v/>
      </c>
      <c r="C207" s="38">
        <f>H206</f>
        <v/>
      </c>
      <c r="D207" s="38">
        <f>Monthly</f>
        <v/>
      </c>
      <c r="E207" s="38">
        <f>B207*Yield_m</f>
        <v/>
      </c>
      <c r="F207" s="38">
        <f>IF(Reinvest="Sim",E207,0)</f>
        <v/>
      </c>
      <c r="G207" s="38">
        <f>(B207+F207)*Growth_m</f>
        <v/>
      </c>
      <c r="H207" s="38">
        <f>B207+F207+G207</f>
        <v/>
      </c>
      <c r="I207" s="38">
        <f>I206+(E207-F207)</f>
        <v/>
      </c>
      <c r="J207" s="38">
        <f>H207+I207</f>
        <v/>
      </c>
      <c r="K207" s="38">
        <f>(E207-F207)-D207+IF(A207=Horizon,H207,0)</f>
        <v/>
      </c>
    </row>
    <row r="208" ht="16" customHeight="1">
      <c r="A208" s="37" t="n">
        <v>203</v>
      </c>
      <c r="B208" s="38">
        <f>C208+D208</f>
        <v/>
      </c>
      <c r="C208" s="38">
        <f>H207</f>
        <v/>
      </c>
      <c r="D208" s="38">
        <f>Monthly</f>
        <v/>
      </c>
      <c r="E208" s="38">
        <f>B208*Yield_m</f>
        <v/>
      </c>
      <c r="F208" s="38">
        <f>IF(Reinvest="Sim",E208,0)</f>
        <v/>
      </c>
      <c r="G208" s="38">
        <f>(B208+F208)*Growth_m</f>
        <v/>
      </c>
      <c r="H208" s="38">
        <f>B208+F208+G208</f>
        <v/>
      </c>
      <c r="I208" s="38">
        <f>I207+(E208-F208)</f>
        <v/>
      </c>
      <c r="J208" s="38">
        <f>H208+I208</f>
        <v/>
      </c>
      <c r="K208" s="38">
        <f>(E208-F208)-D208+IF(A208=Horizon,H208,0)</f>
        <v/>
      </c>
    </row>
    <row r="209" ht="16" customHeight="1">
      <c r="A209" s="37" t="n">
        <v>204</v>
      </c>
      <c r="B209" s="38">
        <f>C209+D209</f>
        <v/>
      </c>
      <c r="C209" s="38">
        <f>H208</f>
        <v/>
      </c>
      <c r="D209" s="38">
        <f>Monthly</f>
        <v/>
      </c>
      <c r="E209" s="38">
        <f>B209*Yield_m</f>
        <v/>
      </c>
      <c r="F209" s="38">
        <f>IF(Reinvest="Sim",E209,0)</f>
        <v/>
      </c>
      <c r="G209" s="38">
        <f>(B209+F209)*Growth_m</f>
        <v/>
      </c>
      <c r="H209" s="38">
        <f>B209+F209+G209</f>
        <v/>
      </c>
      <c r="I209" s="38">
        <f>I208+(E209-F209)</f>
        <v/>
      </c>
      <c r="J209" s="38">
        <f>H209+I209</f>
        <v/>
      </c>
      <c r="K209" s="38">
        <f>(E209-F209)-D209+IF(A209=Horizon,H209,0)</f>
        <v/>
      </c>
    </row>
    <row r="210" ht="16" customHeight="1">
      <c r="A210" s="37" t="n">
        <v>205</v>
      </c>
      <c r="B210" s="38">
        <f>C210+D210</f>
        <v/>
      </c>
      <c r="C210" s="38">
        <f>H209</f>
        <v/>
      </c>
      <c r="D210" s="38">
        <f>Monthly</f>
        <v/>
      </c>
      <c r="E210" s="38">
        <f>B210*Yield_m</f>
        <v/>
      </c>
      <c r="F210" s="38">
        <f>IF(Reinvest="Sim",E210,0)</f>
        <v/>
      </c>
      <c r="G210" s="38">
        <f>(B210+F210)*Growth_m</f>
        <v/>
      </c>
      <c r="H210" s="38">
        <f>B210+F210+G210</f>
        <v/>
      </c>
      <c r="I210" s="38">
        <f>I209+(E210-F210)</f>
        <v/>
      </c>
      <c r="J210" s="38">
        <f>H210+I210</f>
        <v/>
      </c>
      <c r="K210" s="38">
        <f>(E210-F210)-D210+IF(A210=Horizon,H210,0)</f>
        <v/>
      </c>
    </row>
    <row r="211" ht="16" customHeight="1">
      <c r="A211" s="37" t="n">
        <v>206</v>
      </c>
      <c r="B211" s="38">
        <f>C211+D211</f>
        <v/>
      </c>
      <c r="C211" s="38">
        <f>H210</f>
        <v/>
      </c>
      <c r="D211" s="38">
        <f>Monthly</f>
        <v/>
      </c>
      <c r="E211" s="38">
        <f>B211*Yield_m</f>
        <v/>
      </c>
      <c r="F211" s="38">
        <f>IF(Reinvest="Sim",E211,0)</f>
        <v/>
      </c>
      <c r="G211" s="38">
        <f>(B211+F211)*Growth_m</f>
        <v/>
      </c>
      <c r="H211" s="38">
        <f>B211+F211+G211</f>
        <v/>
      </c>
      <c r="I211" s="38">
        <f>I210+(E211-F211)</f>
        <v/>
      </c>
      <c r="J211" s="38">
        <f>H211+I211</f>
        <v/>
      </c>
      <c r="K211" s="38">
        <f>(E211-F211)-D211+IF(A211=Horizon,H211,0)</f>
        <v/>
      </c>
    </row>
    <row r="212" ht="16" customHeight="1">
      <c r="A212" s="37" t="n">
        <v>207</v>
      </c>
      <c r="B212" s="38">
        <f>C212+D212</f>
        <v/>
      </c>
      <c r="C212" s="38">
        <f>H211</f>
        <v/>
      </c>
      <c r="D212" s="38">
        <f>Monthly</f>
        <v/>
      </c>
      <c r="E212" s="38">
        <f>B212*Yield_m</f>
        <v/>
      </c>
      <c r="F212" s="38">
        <f>IF(Reinvest="Sim",E212,0)</f>
        <v/>
      </c>
      <c r="G212" s="38">
        <f>(B212+F212)*Growth_m</f>
        <v/>
      </c>
      <c r="H212" s="38">
        <f>B212+F212+G212</f>
        <v/>
      </c>
      <c r="I212" s="38">
        <f>I211+(E212-F212)</f>
        <v/>
      </c>
      <c r="J212" s="38">
        <f>H212+I212</f>
        <v/>
      </c>
      <c r="K212" s="38">
        <f>(E212-F212)-D212+IF(A212=Horizon,H212,0)</f>
        <v/>
      </c>
    </row>
    <row r="213" ht="16" customHeight="1">
      <c r="A213" s="37" t="n">
        <v>208</v>
      </c>
      <c r="B213" s="38">
        <f>C213+D213</f>
        <v/>
      </c>
      <c r="C213" s="38">
        <f>H212</f>
        <v/>
      </c>
      <c r="D213" s="38">
        <f>Monthly</f>
        <v/>
      </c>
      <c r="E213" s="38">
        <f>B213*Yield_m</f>
        <v/>
      </c>
      <c r="F213" s="38">
        <f>IF(Reinvest="Sim",E213,0)</f>
        <v/>
      </c>
      <c r="G213" s="38">
        <f>(B213+F213)*Growth_m</f>
        <v/>
      </c>
      <c r="H213" s="38">
        <f>B213+F213+G213</f>
        <v/>
      </c>
      <c r="I213" s="38">
        <f>I212+(E213-F213)</f>
        <v/>
      </c>
      <c r="J213" s="38">
        <f>H213+I213</f>
        <v/>
      </c>
      <c r="K213" s="38">
        <f>(E213-F213)-D213+IF(A213=Horizon,H213,0)</f>
        <v/>
      </c>
    </row>
    <row r="214" ht="16" customHeight="1">
      <c r="A214" s="37" t="n">
        <v>209</v>
      </c>
      <c r="B214" s="38">
        <f>C214+D214</f>
        <v/>
      </c>
      <c r="C214" s="38">
        <f>H213</f>
        <v/>
      </c>
      <c r="D214" s="38">
        <f>Monthly</f>
        <v/>
      </c>
      <c r="E214" s="38">
        <f>B214*Yield_m</f>
        <v/>
      </c>
      <c r="F214" s="38">
        <f>IF(Reinvest="Sim",E214,0)</f>
        <v/>
      </c>
      <c r="G214" s="38">
        <f>(B214+F214)*Growth_m</f>
        <v/>
      </c>
      <c r="H214" s="38">
        <f>B214+F214+G214</f>
        <v/>
      </c>
      <c r="I214" s="38">
        <f>I213+(E214-F214)</f>
        <v/>
      </c>
      <c r="J214" s="38">
        <f>H214+I214</f>
        <v/>
      </c>
      <c r="K214" s="38">
        <f>(E214-F214)-D214+IF(A214=Horizon,H214,0)</f>
        <v/>
      </c>
    </row>
    <row r="215" ht="16" customHeight="1">
      <c r="A215" s="37" t="n">
        <v>210</v>
      </c>
      <c r="B215" s="38">
        <f>C215+D215</f>
        <v/>
      </c>
      <c r="C215" s="38">
        <f>H214</f>
        <v/>
      </c>
      <c r="D215" s="38">
        <f>Monthly</f>
        <v/>
      </c>
      <c r="E215" s="38">
        <f>B215*Yield_m</f>
        <v/>
      </c>
      <c r="F215" s="38">
        <f>IF(Reinvest="Sim",E215,0)</f>
        <v/>
      </c>
      <c r="G215" s="38">
        <f>(B215+F215)*Growth_m</f>
        <v/>
      </c>
      <c r="H215" s="38">
        <f>B215+F215+G215</f>
        <v/>
      </c>
      <c r="I215" s="38">
        <f>I214+(E215-F215)</f>
        <v/>
      </c>
      <c r="J215" s="38">
        <f>H215+I215</f>
        <v/>
      </c>
      <c r="K215" s="38">
        <f>(E215-F215)-D215+IF(A215=Horizon,H215,0)</f>
        <v/>
      </c>
    </row>
    <row r="216" ht="16" customHeight="1">
      <c r="A216" s="37" t="n">
        <v>211</v>
      </c>
      <c r="B216" s="38">
        <f>C216+D216</f>
        <v/>
      </c>
      <c r="C216" s="38">
        <f>H215</f>
        <v/>
      </c>
      <c r="D216" s="38">
        <f>Monthly</f>
        <v/>
      </c>
      <c r="E216" s="38">
        <f>B216*Yield_m</f>
        <v/>
      </c>
      <c r="F216" s="38">
        <f>IF(Reinvest="Sim",E216,0)</f>
        <v/>
      </c>
      <c r="G216" s="38">
        <f>(B216+F216)*Growth_m</f>
        <v/>
      </c>
      <c r="H216" s="38">
        <f>B216+F216+G216</f>
        <v/>
      </c>
      <c r="I216" s="38">
        <f>I215+(E216-F216)</f>
        <v/>
      </c>
      <c r="J216" s="38">
        <f>H216+I216</f>
        <v/>
      </c>
      <c r="K216" s="38">
        <f>(E216-F216)-D216+IF(A216=Horizon,H216,0)</f>
        <v/>
      </c>
    </row>
    <row r="217" ht="16" customHeight="1">
      <c r="A217" s="37" t="n">
        <v>212</v>
      </c>
      <c r="B217" s="38">
        <f>C217+D217</f>
        <v/>
      </c>
      <c r="C217" s="38">
        <f>H216</f>
        <v/>
      </c>
      <c r="D217" s="38">
        <f>Monthly</f>
        <v/>
      </c>
      <c r="E217" s="38">
        <f>B217*Yield_m</f>
        <v/>
      </c>
      <c r="F217" s="38">
        <f>IF(Reinvest="Sim",E217,0)</f>
        <v/>
      </c>
      <c r="G217" s="38">
        <f>(B217+F217)*Growth_m</f>
        <v/>
      </c>
      <c r="H217" s="38">
        <f>B217+F217+G217</f>
        <v/>
      </c>
      <c r="I217" s="38">
        <f>I216+(E217-F217)</f>
        <v/>
      </c>
      <c r="J217" s="38">
        <f>H217+I217</f>
        <v/>
      </c>
      <c r="K217" s="38">
        <f>(E217-F217)-D217+IF(A217=Horizon,H217,0)</f>
        <v/>
      </c>
    </row>
    <row r="218" ht="16" customHeight="1">
      <c r="A218" s="37" t="n">
        <v>213</v>
      </c>
      <c r="B218" s="38">
        <f>C218+D218</f>
        <v/>
      </c>
      <c r="C218" s="38">
        <f>H217</f>
        <v/>
      </c>
      <c r="D218" s="38">
        <f>Monthly</f>
        <v/>
      </c>
      <c r="E218" s="38">
        <f>B218*Yield_m</f>
        <v/>
      </c>
      <c r="F218" s="38">
        <f>IF(Reinvest="Sim",E218,0)</f>
        <v/>
      </c>
      <c r="G218" s="38">
        <f>(B218+F218)*Growth_m</f>
        <v/>
      </c>
      <c r="H218" s="38">
        <f>B218+F218+G218</f>
        <v/>
      </c>
      <c r="I218" s="38">
        <f>I217+(E218-F218)</f>
        <v/>
      </c>
      <c r="J218" s="38">
        <f>H218+I218</f>
        <v/>
      </c>
      <c r="K218" s="38">
        <f>(E218-F218)-D218+IF(A218=Horizon,H218,0)</f>
        <v/>
      </c>
    </row>
    <row r="219" ht="16" customHeight="1">
      <c r="A219" s="37" t="n">
        <v>214</v>
      </c>
      <c r="B219" s="38">
        <f>C219+D219</f>
        <v/>
      </c>
      <c r="C219" s="38">
        <f>H218</f>
        <v/>
      </c>
      <c r="D219" s="38">
        <f>Monthly</f>
        <v/>
      </c>
      <c r="E219" s="38">
        <f>B219*Yield_m</f>
        <v/>
      </c>
      <c r="F219" s="38">
        <f>IF(Reinvest="Sim",E219,0)</f>
        <v/>
      </c>
      <c r="G219" s="38">
        <f>(B219+F219)*Growth_m</f>
        <v/>
      </c>
      <c r="H219" s="38">
        <f>B219+F219+G219</f>
        <v/>
      </c>
      <c r="I219" s="38">
        <f>I218+(E219-F219)</f>
        <v/>
      </c>
      <c r="J219" s="38">
        <f>H219+I219</f>
        <v/>
      </c>
      <c r="K219" s="38">
        <f>(E219-F219)-D219+IF(A219=Horizon,H219,0)</f>
        <v/>
      </c>
    </row>
    <row r="220" ht="16" customHeight="1">
      <c r="A220" s="37" t="n">
        <v>215</v>
      </c>
      <c r="B220" s="38">
        <f>C220+D220</f>
        <v/>
      </c>
      <c r="C220" s="38">
        <f>H219</f>
        <v/>
      </c>
      <c r="D220" s="38">
        <f>Monthly</f>
        <v/>
      </c>
      <c r="E220" s="38">
        <f>B220*Yield_m</f>
        <v/>
      </c>
      <c r="F220" s="38">
        <f>IF(Reinvest="Sim",E220,0)</f>
        <v/>
      </c>
      <c r="G220" s="38">
        <f>(B220+F220)*Growth_m</f>
        <v/>
      </c>
      <c r="H220" s="38">
        <f>B220+F220+G220</f>
        <v/>
      </c>
      <c r="I220" s="38">
        <f>I219+(E220-F220)</f>
        <v/>
      </c>
      <c r="J220" s="38">
        <f>H220+I220</f>
        <v/>
      </c>
      <c r="K220" s="38">
        <f>(E220-F220)-D220+IF(A220=Horizon,H220,0)</f>
        <v/>
      </c>
    </row>
    <row r="221" ht="16" customHeight="1">
      <c r="A221" s="37" t="n">
        <v>216</v>
      </c>
      <c r="B221" s="38">
        <f>C221+D221</f>
        <v/>
      </c>
      <c r="C221" s="38">
        <f>H220</f>
        <v/>
      </c>
      <c r="D221" s="38">
        <f>Monthly</f>
        <v/>
      </c>
      <c r="E221" s="38">
        <f>B221*Yield_m</f>
        <v/>
      </c>
      <c r="F221" s="38">
        <f>IF(Reinvest="Sim",E221,0)</f>
        <v/>
      </c>
      <c r="G221" s="38">
        <f>(B221+F221)*Growth_m</f>
        <v/>
      </c>
      <c r="H221" s="38">
        <f>B221+F221+G221</f>
        <v/>
      </c>
      <c r="I221" s="38">
        <f>I220+(E221-F221)</f>
        <v/>
      </c>
      <c r="J221" s="38">
        <f>H221+I221</f>
        <v/>
      </c>
      <c r="K221" s="38">
        <f>(E221-F221)-D221+IF(A221=Horizon,H221,0)</f>
        <v/>
      </c>
    </row>
    <row r="222" ht="16" customHeight="1">
      <c r="A222" s="37" t="n">
        <v>217</v>
      </c>
      <c r="B222" s="38">
        <f>C222+D222</f>
        <v/>
      </c>
      <c r="C222" s="38">
        <f>H221</f>
        <v/>
      </c>
      <c r="D222" s="38">
        <f>Monthly</f>
        <v/>
      </c>
      <c r="E222" s="38">
        <f>B222*Yield_m</f>
        <v/>
      </c>
      <c r="F222" s="38">
        <f>IF(Reinvest="Sim",E222,0)</f>
        <v/>
      </c>
      <c r="G222" s="38">
        <f>(B222+F222)*Growth_m</f>
        <v/>
      </c>
      <c r="H222" s="38">
        <f>B222+F222+G222</f>
        <v/>
      </c>
      <c r="I222" s="38">
        <f>I221+(E222-F222)</f>
        <v/>
      </c>
      <c r="J222" s="38">
        <f>H222+I222</f>
        <v/>
      </c>
      <c r="K222" s="38">
        <f>(E222-F222)-D222+IF(A222=Horizon,H222,0)</f>
        <v/>
      </c>
    </row>
    <row r="223" ht="16" customHeight="1">
      <c r="A223" s="37" t="n">
        <v>218</v>
      </c>
      <c r="B223" s="38">
        <f>C223+D223</f>
        <v/>
      </c>
      <c r="C223" s="38">
        <f>H222</f>
        <v/>
      </c>
      <c r="D223" s="38">
        <f>Monthly</f>
        <v/>
      </c>
      <c r="E223" s="38">
        <f>B223*Yield_m</f>
        <v/>
      </c>
      <c r="F223" s="38">
        <f>IF(Reinvest="Sim",E223,0)</f>
        <v/>
      </c>
      <c r="G223" s="38">
        <f>(B223+F223)*Growth_m</f>
        <v/>
      </c>
      <c r="H223" s="38">
        <f>B223+F223+G223</f>
        <v/>
      </c>
      <c r="I223" s="38">
        <f>I222+(E223-F223)</f>
        <v/>
      </c>
      <c r="J223" s="38">
        <f>H223+I223</f>
        <v/>
      </c>
      <c r="K223" s="38">
        <f>(E223-F223)-D223+IF(A223=Horizon,H223,0)</f>
        <v/>
      </c>
    </row>
    <row r="224" ht="16" customHeight="1">
      <c r="A224" s="37" t="n">
        <v>219</v>
      </c>
      <c r="B224" s="38">
        <f>C224+D224</f>
        <v/>
      </c>
      <c r="C224" s="38">
        <f>H223</f>
        <v/>
      </c>
      <c r="D224" s="38">
        <f>Monthly</f>
        <v/>
      </c>
      <c r="E224" s="38">
        <f>B224*Yield_m</f>
        <v/>
      </c>
      <c r="F224" s="38">
        <f>IF(Reinvest="Sim",E224,0)</f>
        <v/>
      </c>
      <c r="G224" s="38">
        <f>(B224+F224)*Growth_m</f>
        <v/>
      </c>
      <c r="H224" s="38">
        <f>B224+F224+G224</f>
        <v/>
      </c>
      <c r="I224" s="38">
        <f>I223+(E224-F224)</f>
        <v/>
      </c>
      <c r="J224" s="38">
        <f>H224+I224</f>
        <v/>
      </c>
      <c r="K224" s="38">
        <f>(E224-F224)-D224+IF(A224=Horizon,H224,0)</f>
        <v/>
      </c>
    </row>
    <row r="225" ht="16" customHeight="1">
      <c r="A225" s="37" t="n">
        <v>220</v>
      </c>
      <c r="B225" s="38">
        <f>C225+D225</f>
        <v/>
      </c>
      <c r="C225" s="38">
        <f>H224</f>
        <v/>
      </c>
      <c r="D225" s="38">
        <f>Monthly</f>
        <v/>
      </c>
      <c r="E225" s="38">
        <f>B225*Yield_m</f>
        <v/>
      </c>
      <c r="F225" s="38">
        <f>IF(Reinvest="Sim",E225,0)</f>
        <v/>
      </c>
      <c r="G225" s="38">
        <f>(B225+F225)*Growth_m</f>
        <v/>
      </c>
      <c r="H225" s="38">
        <f>B225+F225+G225</f>
        <v/>
      </c>
      <c r="I225" s="38">
        <f>I224+(E225-F225)</f>
        <v/>
      </c>
      <c r="J225" s="38">
        <f>H225+I225</f>
        <v/>
      </c>
      <c r="K225" s="38">
        <f>(E225-F225)-D225+IF(A225=Horizon,H225,0)</f>
        <v/>
      </c>
    </row>
    <row r="226" ht="16" customHeight="1">
      <c r="A226" s="37" t="n">
        <v>221</v>
      </c>
      <c r="B226" s="38">
        <f>C226+D226</f>
        <v/>
      </c>
      <c r="C226" s="38">
        <f>H225</f>
        <v/>
      </c>
      <c r="D226" s="38">
        <f>Monthly</f>
        <v/>
      </c>
      <c r="E226" s="38">
        <f>B226*Yield_m</f>
        <v/>
      </c>
      <c r="F226" s="38">
        <f>IF(Reinvest="Sim",E226,0)</f>
        <v/>
      </c>
      <c r="G226" s="38">
        <f>(B226+F226)*Growth_m</f>
        <v/>
      </c>
      <c r="H226" s="38">
        <f>B226+F226+G226</f>
        <v/>
      </c>
      <c r="I226" s="38">
        <f>I225+(E226-F226)</f>
        <v/>
      </c>
      <c r="J226" s="38">
        <f>H226+I226</f>
        <v/>
      </c>
      <c r="K226" s="38">
        <f>(E226-F226)-D226+IF(A226=Horizon,H226,0)</f>
        <v/>
      </c>
    </row>
    <row r="227" ht="16" customHeight="1">
      <c r="A227" s="37" t="n">
        <v>222</v>
      </c>
      <c r="B227" s="38">
        <f>C227+D227</f>
        <v/>
      </c>
      <c r="C227" s="38">
        <f>H226</f>
        <v/>
      </c>
      <c r="D227" s="38">
        <f>Monthly</f>
        <v/>
      </c>
      <c r="E227" s="38">
        <f>B227*Yield_m</f>
        <v/>
      </c>
      <c r="F227" s="38">
        <f>IF(Reinvest="Sim",E227,0)</f>
        <v/>
      </c>
      <c r="G227" s="38">
        <f>(B227+F227)*Growth_m</f>
        <v/>
      </c>
      <c r="H227" s="38">
        <f>B227+F227+G227</f>
        <v/>
      </c>
      <c r="I227" s="38">
        <f>I226+(E227-F227)</f>
        <v/>
      </c>
      <c r="J227" s="38">
        <f>H227+I227</f>
        <v/>
      </c>
      <c r="K227" s="38">
        <f>(E227-F227)-D227+IF(A227=Horizon,H227,0)</f>
        <v/>
      </c>
    </row>
    <row r="228" ht="16" customHeight="1">
      <c r="A228" s="37" t="n">
        <v>223</v>
      </c>
      <c r="B228" s="38">
        <f>C228+D228</f>
        <v/>
      </c>
      <c r="C228" s="38">
        <f>H227</f>
        <v/>
      </c>
      <c r="D228" s="38">
        <f>Monthly</f>
        <v/>
      </c>
      <c r="E228" s="38">
        <f>B228*Yield_m</f>
        <v/>
      </c>
      <c r="F228" s="38">
        <f>IF(Reinvest="Sim",E228,0)</f>
        <v/>
      </c>
      <c r="G228" s="38">
        <f>(B228+F228)*Growth_m</f>
        <v/>
      </c>
      <c r="H228" s="38">
        <f>B228+F228+G228</f>
        <v/>
      </c>
      <c r="I228" s="38">
        <f>I227+(E228-F228)</f>
        <v/>
      </c>
      <c r="J228" s="38">
        <f>H228+I228</f>
        <v/>
      </c>
      <c r="K228" s="38">
        <f>(E228-F228)-D228+IF(A228=Horizon,H228,0)</f>
        <v/>
      </c>
    </row>
    <row r="229" ht="16" customHeight="1">
      <c r="A229" s="37" t="n">
        <v>224</v>
      </c>
      <c r="B229" s="38">
        <f>C229+D229</f>
        <v/>
      </c>
      <c r="C229" s="38">
        <f>H228</f>
        <v/>
      </c>
      <c r="D229" s="38">
        <f>Monthly</f>
        <v/>
      </c>
      <c r="E229" s="38">
        <f>B229*Yield_m</f>
        <v/>
      </c>
      <c r="F229" s="38">
        <f>IF(Reinvest="Sim",E229,0)</f>
        <v/>
      </c>
      <c r="G229" s="38">
        <f>(B229+F229)*Growth_m</f>
        <v/>
      </c>
      <c r="H229" s="38">
        <f>B229+F229+G229</f>
        <v/>
      </c>
      <c r="I229" s="38">
        <f>I228+(E229-F229)</f>
        <v/>
      </c>
      <c r="J229" s="38">
        <f>H229+I229</f>
        <v/>
      </c>
      <c r="K229" s="38">
        <f>(E229-F229)-D229+IF(A229=Horizon,H229,0)</f>
        <v/>
      </c>
    </row>
    <row r="230" ht="16" customHeight="1">
      <c r="A230" s="37" t="n">
        <v>225</v>
      </c>
      <c r="B230" s="38">
        <f>C230+D230</f>
        <v/>
      </c>
      <c r="C230" s="38">
        <f>H229</f>
        <v/>
      </c>
      <c r="D230" s="38">
        <f>Monthly</f>
        <v/>
      </c>
      <c r="E230" s="38">
        <f>B230*Yield_m</f>
        <v/>
      </c>
      <c r="F230" s="38">
        <f>IF(Reinvest="Sim",E230,0)</f>
        <v/>
      </c>
      <c r="G230" s="38">
        <f>(B230+F230)*Growth_m</f>
        <v/>
      </c>
      <c r="H230" s="38">
        <f>B230+F230+G230</f>
        <v/>
      </c>
      <c r="I230" s="38">
        <f>I229+(E230-F230)</f>
        <v/>
      </c>
      <c r="J230" s="38">
        <f>H230+I230</f>
        <v/>
      </c>
      <c r="K230" s="38">
        <f>(E230-F230)-D230+IF(A230=Horizon,H230,0)</f>
        <v/>
      </c>
    </row>
    <row r="231" ht="16" customHeight="1">
      <c r="A231" s="37" t="n">
        <v>226</v>
      </c>
      <c r="B231" s="38">
        <f>C231+D231</f>
        <v/>
      </c>
      <c r="C231" s="38">
        <f>H230</f>
        <v/>
      </c>
      <c r="D231" s="38">
        <f>Monthly</f>
        <v/>
      </c>
      <c r="E231" s="38">
        <f>B231*Yield_m</f>
        <v/>
      </c>
      <c r="F231" s="38">
        <f>IF(Reinvest="Sim",E231,0)</f>
        <v/>
      </c>
      <c r="G231" s="38">
        <f>(B231+F231)*Growth_m</f>
        <v/>
      </c>
      <c r="H231" s="38">
        <f>B231+F231+G231</f>
        <v/>
      </c>
      <c r="I231" s="38">
        <f>I230+(E231-F231)</f>
        <v/>
      </c>
      <c r="J231" s="38">
        <f>H231+I231</f>
        <v/>
      </c>
      <c r="K231" s="38">
        <f>(E231-F231)-D231+IF(A231=Horizon,H231,0)</f>
        <v/>
      </c>
    </row>
    <row r="232" ht="16" customHeight="1">
      <c r="A232" s="37" t="n">
        <v>227</v>
      </c>
      <c r="B232" s="38">
        <f>C232+D232</f>
        <v/>
      </c>
      <c r="C232" s="38">
        <f>H231</f>
        <v/>
      </c>
      <c r="D232" s="38">
        <f>Monthly</f>
        <v/>
      </c>
      <c r="E232" s="38">
        <f>B232*Yield_m</f>
        <v/>
      </c>
      <c r="F232" s="38">
        <f>IF(Reinvest="Sim",E232,0)</f>
        <v/>
      </c>
      <c r="G232" s="38">
        <f>(B232+F232)*Growth_m</f>
        <v/>
      </c>
      <c r="H232" s="38">
        <f>B232+F232+G232</f>
        <v/>
      </c>
      <c r="I232" s="38">
        <f>I231+(E232-F232)</f>
        <v/>
      </c>
      <c r="J232" s="38">
        <f>H232+I232</f>
        <v/>
      </c>
      <c r="K232" s="38">
        <f>(E232-F232)-D232+IF(A232=Horizon,H232,0)</f>
        <v/>
      </c>
    </row>
    <row r="233" ht="16" customHeight="1">
      <c r="A233" s="37" t="n">
        <v>228</v>
      </c>
      <c r="B233" s="38">
        <f>C233+D233</f>
        <v/>
      </c>
      <c r="C233" s="38">
        <f>H232</f>
        <v/>
      </c>
      <c r="D233" s="38">
        <f>Monthly</f>
        <v/>
      </c>
      <c r="E233" s="38">
        <f>B233*Yield_m</f>
        <v/>
      </c>
      <c r="F233" s="38">
        <f>IF(Reinvest="Sim",E233,0)</f>
        <v/>
      </c>
      <c r="G233" s="38">
        <f>(B233+F233)*Growth_m</f>
        <v/>
      </c>
      <c r="H233" s="38">
        <f>B233+F233+G233</f>
        <v/>
      </c>
      <c r="I233" s="38">
        <f>I232+(E233-F233)</f>
        <v/>
      </c>
      <c r="J233" s="38">
        <f>H233+I233</f>
        <v/>
      </c>
      <c r="K233" s="38">
        <f>(E233-F233)-D233+IF(A233=Horizon,H233,0)</f>
        <v/>
      </c>
    </row>
    <row r="234" ht="16" customHeight="1">
      <c r="A234" s="37" t="n">
        <v>229</v>
      </c>
      <c r="B234" s="38">
        <f>C234+D234</f>
        <v/>
      </c>
      <c r="C234" s="38">
        <f>H233</f>
        <v/>
      </c>
      <c r="D234" s="38">
        <f>Monthly</f>
        <v/>
      </c>
      <c r="E234" s="38">
        <f>B234*Yield_m</f>
        <v/>
      </c>
      <c r="F234" s="38">
        <f>IF(Reinvest="Sim",E234,0)</f>
        <v/>
      </c>
      <c r="G234" s="38">
        <f>(B234+F234)*Growth_m</f>
        <v/>
      </c>
      <c r="H234" s="38">
        <f>B234+F234+G234</f>
        <v/>
      </c>
      <c r="I234" s="38">
        <f>I233+(E234-F234)</f>
        <v/>
      </c>
      <c r="J234" s="38">
        <f>H234+I234</f>
        <v/>
      </c>
      <c r="K234" s="38">
        <f>(E234-F234)-D234+IF(A234=Horizon,H234,0)</f>
        <v/>
      </c>
    </row>
    <row r="235" ht="16" customHeight="1">
      <c r="A235" s="37" t="n">
        <v>230</v>
      </c>
      <c r="B235" s="38">
        <f>C235+D235</f>
        <v/>
      </c>
      <c r="C235" s="38">
        <f>H234</f>
        <v/>
      </c>
      <c r="D235" s="38">
        <f>Monthly</f>
        <v/>
      </c>
      <c r="E235" s="38">
        <f>B235*Yield_m</f>
        <v/>
      </c>
      <c r="F235" s="38">
        <f>IF(Reinvest="Sim",E235,0)</f>
        <v/>
      </c>
      <c r="G235" s="38">
        <f>(B235+F235)*Growth_m</f>
        <v/>
      </c>
      <c r="H235" s="38">
        <f>B235+F235+G235</f>
        <v/>
      </c>
      <c r="I235" s="38">
        <f>I234+(E235-F235)</f>
        <v/>
      </c>
      <c r="J235" s="38">
        <f>H235+I235</f>
        <v/>
      </c>
      <c r="K235" s="38">
        <f>(E235-F235)-D235+IF(A235=Horizon,H235,0)</f>
        <v/>
      </c>
    </row>
    <row r="236" ht="16" customHeight="1">
      <c r="A236" s="37" t="n">
        <v>231</v>
      </c>
      <c r="B236" s="38">
        <f>C236+D236</f>
        <v/>
      </c>
      <c r="C236" s="38">
        <f>H235</f>
        <v/>
      </c>
      <c r="D236" s="38">
        <f>Monthly</f>
        <v/>
      </c>
      <c r="E236" s="38">
        <f>B236*Yield_m</f>
        <v/>
      </c>
      <c r="F236" s="38">
        <f>IF(Reinvest="Sim",E236,0)</f>
        <v/>
      </c>
      <c r="G236" s="38">
        <f>(B236+F236)*Growth_m</f>
        <v/>
      </c>
      <c r="H236" s="38">
        <f>B236+F236+G236</f>
        <v/>
      </c>
      <c r="I236" s="38">
        <f>I235+(E236-F236)</f>
        <v/>
      </c>
      <c r="J236" s="38">
        <f>H236+I236</f>
        <v/>
      </c>
      <c r="K236" s="38">
        <f>(E236-F236)-D236+IF(A236=Horizon,H236,0)</f>
        <v/>
      </c>
    </row>
    <row r="237" ht="16" customHeight="1">
      <c r="A237" s="37" t="n">
        <v>232</v>
      </c>
      <c r="B237" s="38">
        <f>C237+D237</f>
        <v/>
      </c>
      <c r="C237" s="38">
        <f>H236</f>
        <v/>
      </c>
      <c r="D237" s="38">
        <f>Monthly</f>
        <v/>
      </c>
      <c r="E237" s="38">
        <f>B237*Yield_m</f>
        <v/>
      </c>
      <c r="F237" s="38">
        <f>IF(Reinvest="Sim",E237,0)</f>
        <v/>
      </c>
      <c r="G237" s="38">
        <f>(B237+F237)*Growth_m</f>
        <v/>
      </c>
      <c r="H237" s="38">
        <f>B237+F237+G237</f>
        <v/>
      </c>
      <c r="I237" s="38">
        <f>I236+(E237-F237)</f>
        <v/>
      </c>
      <c r="J237" s="38">
        <f>H237+I237</f>
        <v/>
      </c>
      <c r="K237" s="38">
        <f>(E237-F237)-D237+IF(A237=Horizon,H237,0)</f>
        <v/>
      </c>
    </row>
    <row r="238" ht="16" customHeight="1">
      <c r="A238" s="37" t="n">
        <v>233</v>
      </c>
      <c r="B238" s="38">
        <f>C238+D238</f>
        <v/>
      </c>
      <c r="C238" s="38">
        <f>H237</f>
        <v/>
      </c>
      <c r="D238" s="38">
        <f>Monthly</f>
        <v/>
      </c>
      <c r="E238" s="38">
        <f>B238*Yield_m</f>
        <v/>
      </c>
      <c r="F238" s="38">
        <f>IF(Reinvest="Sim",E238,0)</f>
        <v/>
      </c>
      <c r="G238" s="38">
        <f>(B238+F238)*Growth_m</f>
        <v/>
      </c>
      <c r="H238" s="38">
        <f>B238+F238+G238</f>
        <v/>
      </c>
      <c r="I238" s="38">
        <f>I237+(E238-F238)</f>
        <v/>
      </c>
      <c r="J238" s="38">
        <f>H238+I238</f>
        <v/>
      </c>
      <c r="K238" s="38">
        <f>(E238-F238)-D238+IF(A238=Horizon,H238,0)</f>
        <v/>
      </c>
    </row>
    <row r="239" ht="16" customHeight="1">
      <c r="A239" s="37" t="n">
        <v>234</v>
      </c>
      <c r="B239" s="38">
        <f>C239+D239</f>
        <v/>
      </c>
      <c r="C239" s="38">
        <f>H238</f>
        <v/>
      </c>
      <c r="D239" s="38">
        <f>Monthly</f>
        <v/>
      </c>
      <c r="E239" s="38">
        <f>B239*Yield_m</f>
        <v/>
      </c>
      <c r="F239" s="38">
        <f>IF(Reinvest="Sim",E239,0)</f>
        <v/>
      </c>
      <c r="G239" s="38">
        <f>(B239+F239)*Growth_m</f>
        <v/>
      </c>
      <c r="H239" s="38">
        <f>B239+F239+G239</f>
        <v/>
      </c>
      <c r="I239" s="38">
        <f>I238+(E239-F239)</f>
        <v/>
      </c>
      <c r="J239" s="38">
        <f>H239+I239</f>
        <v/>
      </c>
      <c r="K239" s="38">
        <f>(E239-F239)-D239+IF(A239=Horizon,H239,0)</f>
        <v/>
      </c>
    </row>
    <row r="240" ht="16" customHeight="1">
      <c r="A240" s="37" t="n">
        <v>235</v>
      </c>
      <c r="B240" s="38">
        <f>C240+D240</f>
        <v/>
      </c>
      <c r="C240" s="38">
        <f>H239</f>
        <v/>
      </c>
      <c r="D240" s="38">
        <f>Monthly</f>
        <v/>
      </c>
      <c r="E240" s="38">
        <f>B240*Yield_m</f>
        <v/>
      </c>
      <c r="F240" s="38">
        <f>IF(Reinvest="Sim",E240,0)</f>
        <v/>
      </c>
      <c r="G240" s="38">
        <f>(B240+F240)*Growth_m</f>
        <v/>
      </c>
      <c r="H240" s="38">
        <f>B240+F240+G240</f>
        <v/>
      </c>
      <c r="I240" s="38">
        <f>I239+(E240-F240)</f>
        <v/>
      </c>
      <c r="J240" s="38">
        <f>H240+I240</f>
        <v/>
      </c>
      <c r="K240" s="38">
        <f>(E240-F240)-D240+IF(A240=Horizon,H240,0)</f>
        <v/>
      </c>
    </row>
    <row r="241" ht="16" customHeight="1">
      <c r="A241" s="37" t="n">
        <v>236</v>
      </c>
      <c r="B241" s="38">
        <f>C241+D241</f>
        <v/>
      </c>
      <c r="C241" s="38">
        <f>H240</f>
        <v/>
      </c>
      <c r="D241" s="38">
        <f>Monthly</f>
        <v/>
      </c>
      <c r="E241" s="38">
        <f>B241*Yield_m</f>
        <v/>
      </c>
      <c r="F241" s="38">
        <f>IF(Reinvest="Sim",E241,0)</f>
        <v/>
      </c>
      <c r="G241" s="38">
        <f>(B241+F241)*Growth_m</f>
        <v/>
      </c>
      <c r="H241" s="38">
        <f>B241+F241+G241</f>
        <v/>
      </c>
      <c r="I241" s="38">
        <f>I240+(E241-F241)</f>
        <v/>
      </c>
      <c r="J241" s="38">
        <f>H241+I241</f>
        <v/>
      </c>
      <c r="K241" s="38">
        <f>(E241-F241)-D241+IF(A241=Horizon,H241,0)</f>
        <v/>
      </c>
    </row>
    <row r="242" ht="16" customHeight="1">
      <c r="A242" s="37" t="n">
        <v>237</v>
      </c>
      <c r="B242" s="38">
        <f>C242+D242</f>
        <v/>
      </c>
      <c r="C242" s="38">
        <f>H241</f>
        <v/>
      </c>
      <c r="D242" s="38">
        <f>Monthly</f>
        <v/>
      </c>
      <c r="E242" s="38">
        <f>B242*Yield_m</f>
        <v/>
      </c>
      <c r="F242" s="38">
        <f>IF(Reinvest="Sim",E242,0)</f>
        <v/>
      </c>
      <c r="G242" s="38">
        <f>(B242+F242)*Growth_m</f>
        <v/>
      </c>
      <c r="H242" s="38">
        <f>B242+F242+G242</f>
        <v/>
      </c>
      <c r="I242" s="38">
        <f>I241+(E242-F242)</f>
        <v/>
      </c>
      <c r="J242" s="38">
        <f>H242+I242</f>
        <v/>
      </c>
      <c r="K242" s="38">
        <f>(E242-F242)-D242+IF(A242=Horizon,H242,0)</f>
        <v/>
      </c>
    </row>
    <row r="243" ht="16" customHeight="1">
      <c r="A243" s="37" t="n">
        <v>238</v>
      </c>
      <c r="B243" s="38">
        <f>C243+D243</f>
        <v/>
      </c>
      <c r="C243" s="38">
        <f>H242</f>
        <v/>
      </c>
      <c r="D243" s="38">
        <f>Monthly</f>
        <v/>
      </c>
      <c r="E243" s="38">
        <f>B243*Yield_m</f>
        <v/>
      </c>
      <c r="F243" s="38">
        <f>IF(Reinvest="Sim",E243,0)</f>
        <v/>
      </c>
      <c r="G243" s="38">
        <f>(B243+F243)*Growth_m</f>
        <v/>
      </c>
      <c r="H243" s="38">
        <f>B243+F243+G243</f>
        <v/>
      </c>
      <c r="I243" s="38">
        <f>I242+(E243-F243)</f>
        <v/>
      </c>
      <c r="J243" s="38">
        <f>H243+I243</f>
        <v/>
      </c>
      <c r="K243" s="38">
        <f>(E243-F243)-D243+IF(A243=Horizon,H243,0)</f>
        <v/>
      </c>
    </row>
    <row r="244" ht="16" customHeight="1">
      <c r="A244" s="37" t="n">
        <v>239</v>
      </c>
      <c r="B244" s="38">
        <f>C244+D244</f>
        <v/>
      </c>
      <c r="C244" s="38">
        <f>H243</f>
        <v/>
      </c>
      <c r="D244" s="38">
        <f>Monthly</f>
        <v/>
      </c>
      <c r="E244" s="38">
        <f>B244*Yield_m</f>
        <v/>
      </c>
      <c r="F244" s="38">
        <f>IF(Reinvest="Sim",E244,0)</f>
        <v/>
      </c>
      <c r="G244" s="38">
        <f>(B244+F244)*Growth_m</f>
        <v/>
      </c>
      <c r="H244" s="38">
        <f>B244+F244+G244</f>
        <v/>
      </c>
      <c r="I244" s="38">
        <f>I243+(E244-F244)</f>
        <v/>
      </c>
      <c r="J244" s="38">
        <f>H244+I244</f>
        <v/>
      </c>
      <c r="K244" s="38">
        <f>(E244-F244)-D244+IF(A244=Horizon,H244,0)</f>
        <v/>
      </c>
    </row>
    <row r="245" ht="16" customHeight="1">
      <c r="A245" s="37" t="n">
        <v>240</v>
      </c>
      <c r="B245" s="38">
        <f>C245+D245</f>
        <v/>
      </c>
      <c r="C245" s="38">
        <f>H244</f>
        <v/>
      </c>
      <c r="D245" s="38">
        <f>Monthly</f>
        <v/>
      </c>
      <c r="E245" s="38">
        <f>B245*Yield_m</f>
        <v/>
      </c>
      <c r="F245" s="38">
        <f>IF(Reinvest="Sim",E245,0)</f>
        <v/>
      </c>
      <c r="G245" s="38">
        <f>(B245+F245)*Growth_m</f>
        <v/>
      </c>
      <c r="H245" s="38">
        <f>B245+F245+G245</f>
        <v/>
      </c>
      <c r="I245" s="38">
        <f>I244+(E245-F245)</f>
        <v/>
      </c>
      <c r="J245" s="38">
        <f>H245+I245</f>
        <v/>
      </c>
      <c r="K245" s="38">
        <f>(E245-F245)-D245+IF(A245=Horizon,H245,0)</f>
        <v/>
      </c>
    </row>
    <row r="246" ht="16" customHeight="1">
      <c r="A246" s="37" t="n">
        <v>241</v>
      </c>
      <c r="B246" s="38">
        <f>C246+D246</f>
        <v/>
      </c>
      <c r="C246" s="38">
        <f>H245</f>
        <v/>
      </c>
      <c r="D246" s="38">
        <f>Monthly</f>
        <v/>
      </c>
      <c r="E246" s="38">
        <f>B246*Yield_m</f>
        <v/>
      </c>
      <c r="F246" s="38">
        <f>IF(Reinvest="Sim",E246,0)</f>
        <v/>
      </c>
      <c r="G246" s="38">
        <f>(B246+F246)*Growth_m</f>
        <v/>
      </c>
      <c r="H246" s="38">
        <f>B246+F246+G246</f>
        <v/>
      </c>
      <c r="I246" s="38">
        <f>I245+(E246-F246)</f>
        <v/>
      </c>
      <c r="J246" s="38">
        <f>H246+I246</f>
        <v/>
      </c>
      <c r="K246" s="38">
        <f>(E246-F246)-D246+IF(A246=Horizon,H246,0)</f>
        <v/>
      </c>
    </row>
    <row r="247" ht="16" customHeight="1">
      <c r="A247" s="37" t="n">
        <v>242</v>
      </c>
      <c r="B247" s="38">
        <f>C247+D247</f>
        <v/>
      </c>
      <c r="C247" s="38">
        <f>H246</f>
        <v/>
      </c>
      <c r="D247" s="38">
        <f>Monthly</f>
        <v/>
      </c>
      <c r="E247" s="38">
        <f>B247*Yield_m</f>
        <v/>
      </c>
      <c r="F247" s="38">
        <f>IF(Reinvest="Sim",E247,0)</f>
        <v/>
      </c>
      <c r="G247" s="38">
        <f>(B247+F247)*Growth_m</f>
        <v/>
      </c>
      <c r="H247" s="38">
        <f>B247+F247+G247</f>
        <v/>
      </c>
      <c r="I247" s="38">
        <f>I246+(E247-F247)</f>
        <v/>
      </c>
      <c r="J247" s="38">
        <f>H247+I247</f>
        <v/>
      </c>
      <c r="K247" s="38">
        <f>(E247-F247)-D247+IF(A247=Horizon,H247,0)</f>
        <v/>
      </c>
    </row>
    <row r="248" ht="16" customHeight="1">
      <c r="A248" s="37" t="n">
        <v>243</v>
      </c>
      <c r="B248" s="38">
        <f>C248+D248</f>
        <v/>
      </c>
      <c r="C248" s="38">
        <f>H247</f>
        <v/>
      </c>
      <c r="D248" s="38">
        <f>Monthly</f>
        <v/>
      </c>
      <c r="E248" s="38">
        <f>B248*Yield_m</f>
        <v/>
      </c>
      <c r="F248" s="38">
        <f>IF(Reinvest="Sim",E248,0)</f>
        <v/>
      </c>
      <c r="G248" s="38">
        <f>(B248+F248)*Growth_m</f>
        <v/>
      </c>
      <c r="H248" s="38">
        <f>B248+F248+G248</f>
        <v/>
      </c>
      <c r="I248" s="38">
        <f>I247+(E248-F248)</f>
        <v/>
      </c>
      <c r="J248" s="38">
        <f>H248+I248</f>
        <v/>
      </c>
      <c r="K248" s="38">
        <f>(E248-F248)-D248+IF(A248=Horizon,H248,0)</f>
        <v/>
      </c>
    </row>
    <row r="249" ht="16" customHeight="1">
      <c r="A249" s="37" t="n">
        <v>244</v>
      </c>
      <c r="B249" s="38">
        <f>C249+D249</f>
        <v/>
      </c>
      <c r="C249" s="38">
        <f>H248</f>
        <v/>
      </c>
      <c r="D249" s="38">
        <f>Monthly</f>
        <v/>
      </c>
      <c r="E249" s="38">
        <f>B249*Yield_m</f>
        <v/>
      </c>
      <c r="F249" s="38">
        <f>IF(Reinvest="Sim",E249,0)</f>
        <v/>
      </c>
      <c r="G249" s="38">
        <f>(B249+F249)*Growth_m</f>
        <v/>
      </c>
      <c r="H249" s="38">
        <f>B249+F249+G249</f>
        <v/>
      </c>
      <c r="I249" s="38">
        <f>I248+(E249-F249)</f>
        <v/>
      </c>
      <c r="J249" s="38">
        <f>H249+I249</f>
        <v/>
      </c>
      <c r="K249" s="38">
        <f>(E249-F249)-D249+IF(A249=Horizon,H249,0)</f>
        <v/>
      </c>
    </row>
    <row r="250" ht="16" customHeight="1">
      <c r="A250" s="37" t="n">
        <v>245</v>
      </c>
      <c r="B250" s="38">
        <f>C250+D250</f>
        <v/>
      </c>
      <c r="C250" s="38">
        <f>H249</f>
        <v/>
      </c>
      <c r="D250" s="38">
        <f>Monthly</f>
        <v/>
      </c>
      <c r="E250" s="38">
        <f>B250*Yield_m</f>
        <v/>
      </c>
      <c r="F250" s="38">
        <f>IF(Reinvest="Sim",E250,0)</f>
        <v/>
      </c>
      <c r="G250" s="38">
        <f>(B250+F250)*Growth_m</f>
        <v/>
      </c>
      <c r="H250" s="38">
        <f>B250+F250+G250</f>
        <v/>
      </c>
      <c r="I250" s="38">
        <f>I249+(E250-F250)</f>
        <v/>
      </c>
      <c r="J250" s="38">
        <f>H250+I250</f>
        <v/>
      </c>
      <c r="K250" s="38">
        <f>(E250-F250)-D250+IF(A250=Horizon,H250,0)</f>
        <v/>
      </c>
    </row>
    <row r="251" ht="16" customHeight="1">
      <c r="A251" s="37" t="n">
        <v>246</v>
      </c>
      <c r="B251" s="38">
        <f>C251+D251</f>
        <v/>
      </c>
      <c r="C251" s="38">
        <f>H250</f>
        <v/>
      </c>
      <c r="D251" s="38">
        <f>Monthly</f>
        <v/>
      </c>
      <c r="E251" s="38">
        <f>B251*Yield_m</f>
        <v/>
      </c>
      <c r="F251" s="38">
        <f>IF(Reinvest="Sim",E251,0)</f>
        <v/>
      </c>
      <c r="G251" s="38">
        <f>(B251+F251)*Growth_m</f>
        <v/>
      </c>
      <c r="H251" s="38">
        <f>B251+F251+G251</f>
        <v/>
      </c>
      <c r="I251" s="38">
        <f>I250+(E251-F251)</f>
        <v/>
      </c>
      <c r="J251" s="38">
        <f>H251+I251</f>
        <v/>
      </c>
      <c r="K251" s="38">
        <f>(E251-F251)-D251+IF(A251=Horizon,H251,0)</f>
        <v/>
      </c>
    </row>
    <row r="252" ht="16" customHeight="1">
      <c r="A252" s="37" t="n">
        <v>247</v>
      </c>
      <c r="B252" s="38">
        <f>C252+D252</f>
        <v/>
      </c>
      <c r="C252" s="38">
        <f>H251</f>
        <v/>
      </c>
      <c r="D252" s="38">
        <f>Monthly</f>
        <v/>
      </c>
      <c r="E252" s="38">
        <f>B252*Yield_m</f>
        <v/>
      </c>
      <c r="F252" s="38">
        <f>IF(Reinvest="Sim",E252,0)</f>
        <v/>
      </c>
      <c r="G252" s="38">
        <f>(B252+F252)*Growth_m</f>
        <v/>
      </c>
      <c r="H252" s="38">
        <f>B252+F252+G252</f>
        <v/>
      </c>
      <c r="I252" s="38">
        <f>I251+(E252-F252)</f>
        <v/>
      </c>
      <c r="J252" s="38">
        <f>H252+I252</f>
        <v/>
      </c>
      <c r="K252" s="38">
        <f>(E252-F252)-D252+IF(A252=Horizon,H252,0)</f>
        <v/>
      </c>
    </row>
    <row r="253" ht="16" customHeight="1">
      <c r="A253" s="37" t="n">
        <v>248</v>
      </c>
      <c r="B253" s="38">
        <f>C253+D253</f>
        <v/>
      </c>
      <c r="C253" s="38">
        <f>H252</f>
        <v/>
      </c>
      <c r="D253" s="38">
        <f>Monthly</f>
        <v/>
      </c>
      <c r="E253" s="38">
        <f>B253*Yield_m</f>
        <v/>
      </c>
      <c r="F253" s="38">
        <f>IF(Reinvest="Sim",E253,0)</f>
        <v/>
      </c>
      <c r="G253" s="38">
        <f>(B253+F253)*Growth_m</f>
        <v/>
      </c>
      <c r="H253" s="38">
        <f>B253+F253+G253</f>
        <v/>
      </c>
      <c r="I253" s="38">
        <f>I252+(E253-F253)</f>
        <v/>
      </c>
      <c r="J253" s="38">
        <f>H253+I253</f>
        <v/>
      </c>
      <c r="K253" s="38">
        <f>(E253-F253)-D253+IF(A253=Horizon,H253,0)</f>
        <v/>
      </c>
    </row>
    <row r="254" ht="16" customHeight="1">
      <c r="A254" s="37" t="n">
        <v>249</v>
      </c>
      <c r="B254" s="38">
        <f>C254+D254</f>
        <v/>
      </c>
      <c r="C254" s="38">
        <f>H253</f>
        <v/>
      </c>
      <c r="D254" s="38">
        <f>Monthly</f>
        <v/>
      </c>
      <c r="E254" s="38">
        <f>B254*Yield_m</f>
        <v/>
      </c>
      <c r="F254" s="38">
        <f>IF(Reinvest="Sim",E254,0)</f>
        <v/>
      </c>
      <c r="G254" s="38">
        <f>(B254+F254)*Growth_m</f>
        <v/>
      </c>
      <c r="H254" s="38">
        <f>B254+F254+G254</f>
        <v/>
      </c>
      <c r="I254" s="38">
        <f>I253+(E254-F254)</f>
        <v/>
      </c>
      <c r="J254" s="38">
        <f>H254+I254</f>
        <v/>
      </c>
      <c r="K254" s="38">
        <f>(E254-F254)-D254+IF(A254=Horizon,H254,0)</f>
        <v/>
      </c>
    </row>
    <row r="255" ht="16" customHeight="1">
      <c r="A255" s="37" t="n">
        <v>250</v>
      </c>
      <c r="B255" s="38">
        <f>C255+D255</f>
        <v/>
      </c>
      <c r="C255" s="38">
        <f>H254</f>
        <v/>
      </c>
      <c r="D255" s="38">
        <f>Monthly</f>
        <v/>
      </c>
      <c r="E255" s="38">
        <f>B255*Yield_m</f>
        <v/>
      </c>
      <c r="F255" s="38">
        <f>IF(Reinvest="Sim",E255,0)</f>
        <v/>
      </c>
      <c r="G255" s="38">
        <f>(B255+F255)*Growth_m</f>
        <v/>
      </c>
      <c r="H255" s="38">
        <f>B255+F255+G255</f>
        <v/>
      </c>
      <c r="I255" s="38">
        <f>I254+(E255-F255)</f>
        <v/>
      </c>
      <c r="J255" s="38">
        <f>H255+I255</f>
        <v/>
      </c>
      <c r="K255" s="38">
        <f>(E255-F255)-D255+IF(A255=Horizon,H255,0)</f>
        <v/>
      </c>
    </row>
    <row r="256" ht="16" customHeight="1">
      <c r="A256" s="37" t="n">
        <v>251</v>
      </c>
      <c r="B256" s="38">
        <f>C256+D256</f>
        <v/>
      </c>
      <c r="C256" s="38">
        <f>H255</f>
        <v/>
      </c>
      <c r="D256" s="38">
        <f>Monthly</f>
        <v/>
      </c>
      <c r="E256" s="38">
        <f>B256*Yield_m</f>
        <v/>
      </c>
      <c r="F256" s="38">
        <f>IF(Reinvest="Sim",E256,0)</f>
        <v/>
      </c>
      <c r="G256" s="38">
        <f>(B256+F256)*Growth_m</f>
        <v/>
      </c>
      <c r="H256" s="38">
        <f>B256+F256+G256</f>
        <v/>
      </c>
      <c r="I256" s="38">
        <f>I255+(E256-F256)</f>
        <v/>
      </c>
      <c r="J256" s="38">
        <f>H256+I256</f>
        <v/>
      </c>
      <c r="K256" s="38">
        <f>(E256-F256)-D256+IF(A256=Horizon,H256,0)</f>
        <v/>
      </c>
    </row>
    <row r="257" ht="16" customHeight="1">
      <c r="A257" s="37" t="n">
        <v>252</v>
      </c>
      <c r="B257" s="38">
        <f>C257+D257</f>
        <v/>
      </c>
      <c r="C257" s="38">
        <f>H256</f>
        <v/>
      </c>
      <c r="D257" s="38">
        <f>Monthly</f>
        <v/>
      </c>
      <c r="E257" s="38">
        <f>B257*Yield_m</f>
        <v/>
      </c>
      <c r="F257" s="38">
        <f>IF(Reinvest="Sim",E257,0)</f>
        <v/>
      </c>
      <c r="G257" s="38">
        <f>(B257+F257)*Growth_m</f>
        <v/>
      </c>
      <c r="H257" s="38">
        <f>B257+F257+G257</f>
        <v/>
      </c>
      <c r="I257" s="38">
        <f>I256+(E257-F257)</f>
        <v/>
      </c>
      <c r="J257" s="38">
        <f>H257+I257</f>
        <v/>
      </c>
      <c r="K257" s="38">
        <f>(E257-F257)-D257+IF(A257=Horizon,H257,0)</f>
        <v/>
      </c>
    </row>
    <row r="258" ht="16" customHeight="1">
      <c r="A258" s="37" t="n">
        <v>253</v>
      </c>
      <c r="B258" s="38">
        <f>C258+D258</f>
        <v/>
      </c>
      <c r="C258" s="38">
        <f>H257</f>
        <v/>
      </c>
      <c r="D258" s="38">
        <f>Monthly</f>
        <v/>
      </c>
      <c r="E258" s="38">
        <f>B258*Yield_m</f>
        <v/>
      </c>
      <c r="F258" s="38">
        <f>IF(Reinvest="Sim",E258,0)</f>
        <v/>
      </c>
      <c r="G258" s="38">
        <f>(B258+F258)*Growth_m</f>
        <v/>
      </c>
      <c r="H258" s="38">
        <f>B258+F258+G258</f>
        <v/>
      </c>
      <c r="I258" s="38">
        <f>I257+(E258-F258)</f>
        <v/>
      </c>
      <c r="J258" s="38">
        <f>H258+I258</f>
        <v/>
      </c>
      <c r="K258" s="38">
        <f>(E258-F258)-D258+IF(A258=Horizon,H258,0)</f>
        <v/>
      </c>
    </row>
    <row r="259" ht="16" customHeight="1">
      <c r="A259" s="37" t="n">
        <v>254</v>
      </c>
      <c r="B259" s="38">
        <f>C259+D259</f>
        <v/>
      </c>
      <c r="C259" s="38">
        <f>H258</f>
        <v/>
      </c>
      <c r="D259" s="38">
        <f>Monthly</f>
        <v/>
      </c>
      <c r="E259" s="38">
        <f>B259*Yield_m</f>
        <v/>
      </c>
      <c r="F259" s="38">
        <f>IF(Reinvest="Sim",E259,0)</f>
        <v/>
      </c>
      <c r="G259" s="38">
        <f>(B259+F259)*Growth_m</f>
        <v/>
      </c>
      <c r="H259" s="38">
        <f>B259+F259+G259</f>
        <v/>
      </c>
      <c r="I259" s="38">
        <f>I258+(E259-F259)</f>
        <v/>
      </c>
      <c r="J259" s="38">
        <f>H259+I259</f>
        <v/>
      </c>
      <c r="K259" s="38">
        <f>(E259-F259)-D259+IF(A259=Horizon,H259,0)</f>
        <v/>
      </c>
    </row>
    <row r="260" ht="16" customHeight="1">
      <c r="A260" s="37" t="n">
        <v>255</v>
      </c>
      <c r="B260" s="38">
        <f>C260+D260</f>
        <v/>
      </c>
      <c r="C260" s="38">
        <f>H259</f>
        <v/>
      </c>
      <c r="D260" s="38">
        <f>Monthly</f>
        <v/>
      </c>
      <c r="E260" s="38">
        <f>B260*Yield_m</f>
        <v/>
      </c>
      <c r="F260" s="38">
        <f>IF(Reinvest="Sim",E260,0)</f>
        <v/>
      </c>
      <c r="G260" s="38">
        <f>(B260+F260)*Growth_m</f>
        <v/>
      </c>
      <c r="H260" s="38">
        <f>B260+F260+G260</f>
        <v/>
      </c>
      <c r="I260" s="38">
        <f>I259+(E260-F260)</f>
        <v/>
      </c>
      <c r="J260" s="38">
        <f>H260+I260</f>
        <v/>
      </c>
      <c r="K260" s="38">
        <f>(E260-F260)-D260+IF(A260=Horizon,H260,0)</f>
        <v/>
      </c>
    </row>
    <row r="261" ht="16" customHeight="1">
      <c r="A261" s="37" t="n">
        <v>256</v>
      </c>
      <c r="B261" s="38">
        <f>C261+D261</f>
        <v/>
      </c>
      <c r="C261" s="38">
        <f>H260</f>
        <v/>
      </c>
      <c r="D261" s="38">
        <f>Monthly</f>
        <v/>
      </c>
      <c r="E261" s="38">
        <f>B261*Yield_m</f>
        <v/>
      </c>
      <c r="F261" s="38">
        <f>IF(Reinvest="Sim",E261,0)</f>
        <v/>
      </c>
      <c r="G261" s="38">
        <f>(B261+F261)*Growth_m</f>
        <v/>
      </c>
      <c r="H261" s="38">
        <f>B261+F261+G261</f>
        <v/>
      </c>
      <c r="I261" s="38">
        <f>I260+(E261-F261)</f>
        <v/>
      </c>
      <c r="J261" s="38">
        <f>H261+I261</f>
        <v/>
      </c>
      <c r="K261" s="38">
        <f>(E261-F261)-D261+IF(A261=Horizon,H261,0)</f>
        <v/>
      </c>
    </row>
    <row r="262" ht="16" customHeight="1">
      <c r="A262" s="37" t="n">
        <v>257</v>
      </c>
      <c r="B262" s="38">
        <f>C262+D262</f>
        <v/>
      </c>
      <c r="C262" s="38">
        <f>H261</f>
        <v/>
      </c>
      <c r="D262" s="38">
        <f>Monthly</f>
        <v/>
      </c>
      <c r="E262" s="38">
        <f>B262*Yield_m</f>
        <v/>
      </c>
      <c r="F262" s="38">
        <f>IF(Reinvest="Sim",E262,0)</f>
        <v/>
      </c>
      <c r="G262" s="38">
        <f>(B262+F262)*Growth_m</f>
        <v/>
      </c>
      <c r="H262" s="38">
        <f>B262+F262+G262</f>
        <v/>
      </c>
      <c r="I262" s="38">
        <f>I261+(E262-F262)</f>
        <v/>
      </c>
      <c r="J262" s="38">
        <f>H262+I262</f>
        <v/>
      </c>
      <c r="K262" s="38">
        <f>(E262-F262)-D262+IF(A262=Horizon,H262,0)</f>
        <v/>
      </c>
    </row>
    <row r="263" ht="16" customHeight="1">
      <c r="A263" s="37" t="n">
        <v>258</v>
      </c>
      <c r="B263" s="38">
        <f>C263+D263</f>
        <v/>
      </c>
      <c r="C263" s="38">
        <f>H262</f>
        <v/>
      </c>
      <c r="D263" s="38">
        <f>Monthly</f>
        <v/>
      </c>
      <c r="E263" s="38">
        <f>B263*Yield_m</f>
        <v/>
      </c>
      <c r="F263" s="38">
        <f>IF(Reinvest="Sim",E263,0)</f>
        <v/>
      </c>
      <c r="G263" s="38">
        <f>(B263+F263)*Growth_m</f>
        <v/>
      </c>
      <c r="H263" s="38">
        <f>B263+F263+G263</f>
        <v/>
      </c>
      <c r="I263" s="38">
        <f>I262+(E263-F263)</f>
        <v/>
      </c>
      <c r="J263" s="38">
        <f>H263+I263</f>
        <v/>
      </c>
      <c r="K263" s="38">
        <f>(E263-F263)-D263+IF(A263=Horizon,H263,0)</f>
        <v/>
      </c>
    </row>
    <row r="264" ht="16" customHeight="1">
      <c r="A264" s="37" t="n">
        <v>259</v>
      </c>
      <c r="B264" s="38">
        <f>C264+D264</f>
        <v/>
      </c>
      <c r="C264" s="38">
        <f>H263</f>
        <v/>
      </c>
      <c r="D264" s="38">
        <f>Monthly</f>
        <v/>
      </c>
      <c r="E264" s="38">
        <f>B264*Yield_m</f>
        <v/>
      </c>
      <c r="F264" s="38">
        <f>IF(Reinvest="Sim",E264,0)</f>
        <v/>
      </c>
      <c r="G264" s="38">
        <f>(B264+F264)*Growth_m</f>
        <v/>
      </c>
      <c r="H264" s="38">
        <f>B264+F264+G264</f>
        <v/>
      </c>
      <c r="I264" s="38">
        <f>I263+(E264-F264)</f>
        <v/>
      </c>
      <c r="J264" s="38">
        <f>H264+I264</f>
        <v/>
      </c>
      <c r="K264" s="38">
        <f>(E264-F264)-D264+IF(A264=Horizon,H264,0)</f>
        <v/>
      </c>
    </row>
    <row r="265" ht="16" customHeight="1">
      <c r="A265" s="37" t="n">
        <v>260</v>
      </c>
      <c r="B265" s="38">
        <f>C265+D265</f>
        <v/>
      </c>
      <c r="C265" s="38">
        <f>H264</f>
        <v/>
      </c>
      <c r="D265" s="38">
        <f>Monthly</f>
        <v/>
      </c>
      <c r="E265" s="38">
        <f>B265*Yield_m</f>
        <v/>
      </c>
      <c r="F265" s="38">
        <f>IF(Reinvest="Sim",E265,0)</f>
        <v/>
      </c>
      <c r="G265" s="38">
        <f>(B265+F265)*Growth_m</f>
        <v/>
      </c>
      <c r="H265" s="38">
        <f>B265+F265+G265</f>
        <v/>
      </c>
      <c r="I265" s="38">
        <f>I264+(E265-F265)</f>
        <v/>
      </c>
      <c r="J265" s="38">
        <f>H265+I265</f>
        <v/>
      </c>
      <c r="K265" s="38">
        <f>(E265-F265)-D265+IF(A265=Horizon,H265,0)</f>
        <v/>
      </c>
    </row>
    <row r="266" ht="16" customHeight="1">
      <c r="A266" s="37" t="n">
        <v>261</v>
      </c>
      <c r="B266" s="38">
        <f>C266+D266</f>
        <v/>
      </c>
      <c r="C266" s="38">
        <f>H265</f>
        <v/>
      </c>
      <c r="D266" s="38">
        <f>Monthly</f>
        <v/>
      </c>
      <c r="E266" s="38">
        <f>B266*Yield_m</f>
        <v/>
      </c>
      <c r="F266" s="38">
        <f>IF(Reinvest="Sim",E266,0)</f>
        <v/>
      </c>
      <c r="G266" s="38">
        <f>(B266+F266)*Growth_m</f>
        <v/>
      </c>
      <c r="H266" s="38">
        <f>B266+F266+G266</f>
        <v/>
      </c>
      <c r="I266" s="38">
        <f>I265+(E266-F266)</f>
        <v/>
      </c>
      <c r="J266" s="38">
        <f>H266+I266</f>
        <v/>
      </c>
      <c r="K266" s="38">
        <f>(E266-F266)-D266+IF(A266=Horizon,H266,0)</f>
        <v/>
      </c>
    </row>
    <row r="267" ht="16" customHeight="1">
      <c r="A267" s="37" t="n">
        <v>262</v>
      </c>
      <c r="B267" s="38">
        <f>C267+D267</f>
        <v/>
      </c>
      <c r="C267" s="38">
        <f>H266</f>
        <v/>
      </c>
      <c r="D267" s="38">
        <f>Monthly</f>
        <v/>
      </c>
      <c r="E267" s="38">
        <f>B267*Yield_m</f>
        <v/>
      </c>
      <c r="F267" s="38">
        <f>IF(Reinvest="Sim",E267,0)</f>
        <v/>
      </c>
      <c r="G267" s="38">
        <f>(B267+F267)*Growth_m</f>
        <v/>
      </c>
      <c r="H267" s="38">
        <f>B267+F267+G267</f>
        <v/>
      </c>
      <c r="I267" s="38">
        <f>I266+(E267-F267)</f>
        <v/>
      </c>
      <c r="J267" s="38">
        <f>H267+I267</f>
        <v/>
      </c>
      <c r="K267" s="38">
        <f>(E267-F267)-D267+IF(A267=Horizon,H267,0)</f>
        <v/>
      </c>
    </row>
    <row r="268" ht="16" customHeight="1">
      <c r="A268" s="37" t="n">
        <v>263</v>
      </c>
      <c r="B268" s="38">
        <f>C268+D268</f>
        <v/>
      </c>
      <c r="C268" s="38">
        <f>H267</f>
        <v/>
      </c>
      <c r="D268" s="38">
        <f>Monthly</f>
        <v/>
      </c>
      <c r="E268" s="38">
        <f>B268*Yield_m</f>
        <v/>
      </c>
      <c r="F268" s="38">
        <f>IF(Reinvest="Sim",E268,0)</f>
        <v/>
      </c>
      <c r="G268" s="38">
        <f>(B268+F268)*Growth_m</f>
        <v/>
      </c>
      <c r="H268" s="38">
        <f>B268+F268+G268</f>
        <v/>
      </c>
      <c r="I268" s="38">
        <f>I267+(E268-F268)</f>
        <v/>
      </c>
      <c r="J268" s="38">
        <f>H268+I268</f>
        <v/>
      </c>
      <c r="K268" s="38">
        <f>(E268-F268)-D268+IF(A268=Horizon,H268,0)</f>
        <v/>
      </c>
    </row>
    <row r="269" ht="16" customHeight="1">
      <c r="A269" s="37" t="n">
        <v>264</v>
      </c>
      <c r="B269" s="38">
        <f>C269+D269</f>
        <v/>
      </c>
      <c r="C269" s="38">
        <f>H268</f>
        <v/>
      </c>
      <c r="D269" s="38">
        <f>Monthly</f>
        <v/>
      </c>
      <c r="E269" s="38">
        <f>B269*Yield_m</f>
        <v/>
      </c>
      <c r="F269" s="38">
        <f>IF(Reinvest="Sim",E269,0)</f>
        <v/>
      </c>
      <c r="G269" s="38">
        <f>(B269+F269)*Growth_m</f>
        <v/>
      </c>
      <c r="H269" s="38">
        <f>B269+F269+G269</f>
        <v/>
      </c>
      <c r="I269" s="38">
        <f>I268+(E269-F269)</f>
        <v/>
      </c>
      <c r="J269" s="38">
        <f>H269+I269</f>
        <v/>
      </c>
      <c r="K269" s="38">
        <f>(E269-F269)-D269+IF(A269=Horizon,H269,0)</f>
        <v/>
      </c>
    </row>
    <row r="270" ht="16" customHeight="1">
      <c r="A270" s="37" t="n">
        <v>265</v>
      </c>
      <c r="B270" s="38">
        <f>C270+D270</f>
        <v/>
      </c>
      <c r="C270" s="38">
        <f>H269</f>
        <v/>
      </c>
      <c r="D270" s="38">
        <f>Monthly</f>
        <v/>
      </c>
      <c r="E270" s="38">
        <f>B270*Yield_m</f>
        <v/>
      </c>
      <c r="F270" s="38">
        <f>IF(Reinvest="Sim",E270,0)</f>
        <v/>
      </c>
      <c r="G270" s="38">
        <f>(B270+F270)*Growth_m</f>
        <v/>
      </c>
      <c r="H270" s="38">
        <f>B270+F270+G270</f>
        <v/>
      </c>
      <c r="I270" s="38">
        <f>I269+(E270-F270)</f>
        <v/>
      </c>
      <c r="J270" s="38">
        <f>H270+I270</f>
        <v/>
      </c>
      <c r="K270" s="38">
        <f>(E270-F270)-D270+IF(A270=Horizon,H270,0)</f>
        <v/>
      </c>
    </row>
    <row r="271" ht="16" customHeight="1">
      <c r="A271" s="37" t="n">
        <v>266</v>
      </c>
      <c r="B271" s="38">
        <f>C271+D271</f>
        <v/>
      </c>
      <c r="C271" s="38">
        <f>H270</f>
        <v/>
      </c>
      <c r="D271" s="38">
        <f>Monthly</f>
        <v/>
      </c>
      <c r="E271" s="38">
        <f>B271*Yield_m</f>
        <v/>
      </c>
      <c r="F271" s="38">
        <f>IF(Reinvest="Sim",E271,0)</f>
        <v/>
      </c>
      <c r="G271" s="38">
        <f>(B271+F271)*Growth_m</f>
        <v/>
      </c>
      <c r="H271" s="38">
        <f>B271+F271+G271</f>
        <v/>
      </c>
      <c r="I271" s="38">
        <f>I270+(E271-F271)</f>
        <v/>
      </c>
      <c r="J271" s="38">
        <f>H271+I271</f>
        <v/>
      </c>
      <c r="K271" s="38">
        <f>(E271-F271)-D271+IF(A271=Horizon,H271,0)</f>
        <v/>
      </c>
    </row>
    <row r="272" ht="16" customHeight="1">
      <c r="A272" s="37" t="n">
        <v>267</v>
      </c>
      <c r="B272" s="38">
        <f>C272+D272</f>
        <v/>
      </c>
      <c r="C272" s="38">
        <f>H271</f>
        <v/>
      </c>
      <c r="D272" s="38">
        <f>Monthly</f>
        <v/>
      </c>
      <c r="E272" s="38">
        <f>B272*Yield_m</f>
        <v/>
      </c>
      <c r="F272" s="38">
        <f>IF(Reinvest="Sim",E272,0)</f>
        <v/>
      </c>
      <c r="G272" s="38">
        <f>(B272+F272)*Growth_m</f>
        <v/>
      </c>
      <c r="H272" s="38">
        <f>B272+F272+G272</f>
        <v/>
      </c>
      <c r="I272" s="38">
        <f>I271+(E272-F272)</f>
        <v/>
      </c>
      <c r="J272" s="38">
        <f>H272+I272</f>
        <v/>
      </c>
      <c r="K272" s="38">
        <f>(E272-F272)-D272+IF(A272=Horizon,H272,0)</f>
        <v/>
      </c>
    </row>
    <row r="273" ht="16" customHeight="1">
      <c r="A273" s="37" t="n">
        <v>268</v>
      </c>
      <c r="B273" s="38">
        <f>C273+D273</f>
        <v/>
      </c>
      <c r="C273" s="38">
        <f>H272</f>
        <v/>
      </c>
      <c r="D273" s="38">
        <f>Monthly</f>
        <v/>
      </c>
      <c r="E273" s="38">
        <f>B273*Yield_m</f>
        <v/>
      </c>
      <c r="F273" s="38">
        <f>IF(Reinvest="Sim",E273,0)</f>
        <v/>
      </c>
      <c r="G273" s="38">
        <f>(B273+F273)*Growth_m</f>
        <v/>
      </c>
      <c r="H273" s="38">
        <f>B273+F273+G273</f>
        <v/>
      </c>
      <c r="I273" s="38">
        <f>I272+(E273-F273)</f>
        <v/>
      </c>
      <c r="J273" s="38">
        <f>H273+I273</f>
        <v/>
      </c>
      <c r="K273" s="38">
        <f>(E273-F273)-D273+IF(A273=Horizon,H273,0)</f>
        <v/>
      </c>
    </row>
    <row r="274" ht="16" customHeight="1">
      <c r="A274" s="37" t="n">
        <v>269</v>
      </c>
      <c r="B274" s="38">
        <f>C274+D274</f>
        <v/>
      </c>
      <c r="C274" s="38">
        <f>H273</f>
        <v/>
      </c>
      <c r="D274" s="38">
        <f>Monthly</f>
        <v/>
      </c>
      <c r="E274" s="38">
        <f>B274*Yield_m</f>
        <v/>
      </c>
      <c r="F274" s="38">
        <f>IF(Reinvest="Sim",E274,0)</f>
        <v/>
      </c>
      <c r="G274" s="38">
        <f>(B274+F274)*Growth_m</f>
        <v/>
      </c>
      <c r="H274" s="38">
        <f>B274+F274+G274</f>
        <v/>
      </c>
      <c r="I274" s="38">
        <f>I273+(E274-F274)</f>
        <v/>
      </c>
      <c r="J274" s="38">
        <f>H274+I274</f>
        <v/>
      </c>
      <c r="K274" s="38">
        <f>(E274-F274)-D274+IF(A274=Horizon,H274,0)</f>
        <v/>
      </c>
    </row>
    <row r="275" ht="16" customHeight="1">
      <c r="A275" s="37" t="n">
        <v>270</v>
      </c>
      <c r="B275" s="38">
        <f>C275+D275</f>
        <v/>
      </c>
      <c r="C275" s="38">
        <f>H274</f>
        <v/>
      </c>
      <c r="D275" s="38">
        <f>Monthly</f>
        <v/>
      </c>
      <c r="E275" s="38">
        <f>B275*Yield_m</f>
        <v/>
      </c>
      <c r="F275" s="38">
        <f>IF(Reinvest="Sim",E275,0)</f>
        <v/>
      </c>
      <c r="G275" s="38">
        <f>(B275+F275)*Growth_m</f>
        <v/>
      </c>
      <c r="H275" s="38">
        <f>B275+F275+G275</f>
        <v/>
      </c>
      <c r="I275" s="38">
        <f>I274+(E275-F275)</f>
        <v/>
      </c>
      <c r="J275" s="38">
        <f>H275+I275</f>
        <v/>
      </c>
      <c r="K275" s="38">
        <f>(E275-F275)-D275+IF(A275=Horizon,H275,0)</f>
        <v/>
      </c>
    </row>
    <row r="276" ht="16" customHeight="1">
      <c r="A276" s="37" t="n">
        <v>271</v>
      </c>
      <c r="B276" s="38">
        <f>C276+D276</f>
        <v/>
      </c>
      <c r="C276" s="38">
        <f>H275</f>
        <v/>
      </c>
      <c r="D276" s="38">
        <f>Monthly</f>
        <v/>
      </c>
      <c r="E276" s="38">
        <f>B276*Yield_m</f>
        <v/>
      </c>
      <c r="F276" s="38">
        <f>IF(Reinvest="Sim",E276,0)</f>
        <v/>
      </c>
      <c r="G276" s="38">
        <f>(B276+F276)*Growth_m</f>
        <v/>
      </c>
      <c r="H276" s="38">
        <f>B276+F276+G276</f>
        <v/>
      </c>
      <c r="I276" s="38">
        <f>I275+(E276-F276)</f>
        <v/>
      </c>
      <c r="J276" s="38">
        <f>H276+I276</f>
        <v/>
      </c>
      <c r="K276" s="38">
        <f>(E276-F276)-D276+IF(A276=Horizon,H276,0)</f>
        <v/>
      </c>
    </row>
    <row r="277" ht="16" customHeight="1">
      <c r="A277" s="37" t="n">
        <v>272</v>
      </c>
      <c r="B277" s="38">
        <f>C277+D277</f>
        <v/>
      </c>
      <c r="C277" s="38">
        <f>H276</f>
        <v/>
      </c>
      <c r="D277" s="38">
        <f>Monthly</f>
        <v/>
      </c>
      <c r="E277" s="38">
        <f>B277*Yield_m</f>
        <v/>
      </c>
      <c r="F277" s="38">
        <f>IF(Reinvest="Sim",E277,0)</f>
        <v/>
      </c>
      <c r="G277" s="38">
        <f>(B277+F277)*Growth_m</f>
        <v/>
      </c>
      <c r="H277" s="38">
        <f>B277+F277+G277</f>
        <v/>
      </c>
      <c r="I277" s="38">
        <f>I276+(E277-F277)</f>
        <v/>
      </c>
      <c r="J277" s="38">
        <f>H277+I277</f>
        <v/>
      </c>
      <c r="K277" s="38">
        <f>(E277-F277)-D277+IF(A277=Horizon,H277,0)</f>
        <v/>
      </c>
    </row>
    <row r="278" ht="16" customHeight="1">
      <c r="A278" s="37" t="n">
        <v>273</v>
      </c>
      <c r="B278" s="38">
        <f>C278+D278</f>
        <v/>
      </c>
      <c r="C278" s="38">
        <f>H277</f>
        <v/>
      </c>
      <c r="D278" s="38">
        <f>Monthly</f>
        <v/>
      </c>
      <c r="E278" s="38">
        <f>B278*Yield_m</f>
        <v/>
      </c>
      <c r="F278" s="38">
        <f>IF(Reinvest="Sim",E278,0)</f>
        <v/>
      </c>
      <c r="G278" s="38">
        <f>(B278+F278)*Growth_m</f>
        <v/>
      </c>
      <c r="H278" s="38">
        <f>B278+F278+G278</f>
        <v/>
      </c>
      <c r="I278" s="38">
        <f>I277+(E278-F278)</f>
        <v/>
      </c>
      <c r="J278" s="38">
        <f>H278+I278</f>
        <v/>
      </c>
      <c r="K278" s="38">
        <f>(E278-F278)-D278+IF(A278=Horizon,H278,0)</f>
        <v/>
      </c>
    </row>
    <row r="279" ht="16" customHeight="1">
      <c r="A279" s="37" t="n">
        <v>274</v>
      </c>
      <c r="B279" s="38">
        <f>C279+D279</f>
        <v/>
      </c>
      <c r="C279" s="38">
        <f>H278</f>
        <v/>
      </c>
      <c r="D279" s="38">
        <f>Monthly</f>
        <v/>
      </c>
      <c r="E279" s="38">
        <f>B279*Yield_m</f>
        <v/>
      </c>
      <c r="F279" s="38">
        <f>IF(Reinvest="Sim",E279,0)</f>
        <v/>
      </c>
      <c r="G279" s="38">
        <f>(B279+F279)*Growth_m</f>
        <v/>
      </c>
      <c r="H279" s="38">
        <f>B279+F279+G279</f>
        <v/>
      </c>
      <c r="I279" s="38">
        <f>I278+(E279-F279)</f>
        <v/>
      </c>
      <c r="J279" s="38">
        <f>H279+I279</f>
        <v/>
      </c>
      <c r="K279" s="38">
        <f>(E279-F279)-D279+IF(A279=Horizon,H279,0)</f>
        <v/>
      </c>
    </row>
    <row r="280" ht="16" customHeight="1">
      <c r="A280" s="37" t="n">
        <v>275</v>
      </c>
      <c r="B280" s="38">
        <f>C280+D280</f>
        <v/>
      </c>
      <c r="C280" s="38">
        <f>H279</f>
        <v/>
      </c>
      <c r="D280" s="38">
        <f>Monthly</f>
        <v/>
      </c>
      <c r="E280" s="38">
        <f>B280*Yield_m</f>
        <v/>
      </c>
      <c r="F280" s="38">
        <f>IF(Reinvest="Sim",E280,0)</f>
        <v/>
      </c>
      <c r="G280" s="38">
        <f>(B280+F280)*Growth_m</f>
        <v/>
      </c>
      <c r="H280" s="38">
        <f>B280+F280+G280</f>
        <v/>
      </c>
      <c r="I280" s="38">
        <f>I279+(E280-F280)</f>
        <v/>
      </c>
      <c r="J280" s="38">
        <f>H280+I280</f>
        <v/>
      </c>
      <c r="K280" s="38">
        <f>(E280-F280)-D280+IF(A280=Horizon,H280,0)</f>
        <v/>
      </c>
    </row>
    <row r="281" ht="16" customHeight="1">
      <c r="A281" s="37" t="n">
        <v>276</v>
      </c>
      <c r="B281" s="38">
        <f>C281+D281</f>
        <v/>
      </c>
      <c r="C281" s="38">
        <f>H280</f>
        <v/>
      </c>
      <c r="D281" s="38">
        <f>Monthly</f>
        <v/>
      </c>
      <c r="E281" s="38">
        <f>B281*Yield_m</f>
        <v/>
      </c>
      <c r="F281" s="38">
        <f>IF(Reinvest="Sim",E281,0)</f>
        <v/>
      </c>
      <c r="G281" s="38">
        <f>(B281+F281)*Growth_m</f>
        <v/>
      </c>
      <c r="H281" s="38">
        <f>B281+F281+G281</f>
        <v/>
      </c>
      <c r="I281" s="38">
        <f>I280+(E281-F281)</f>
        <v/>
      </c>
      <c r="J281" s="38">
        <f>H281+I281</f>
        <v/>
      </c>
      <c r="K281" s="38">
        <f>(E281-F281)-D281+IF(A281=Horizon,H281,0)</f>
        <v/>
      </c>
    </row>
    <row r="282" ht="16" customHeight="1">
      <c r="A282" s="37" t="n">
        <v>277</v>
      </c>
      <c r="B282" s="38">
        <f>C282+D282</f>
        <v/>
      </c>
      <c r="C282" s="38">
        <f>H281</f>
        <v/>
      </c>
      <c r="D282" s="38">
        <f>Monthly</f>
        <v/>
      </c>
      <c r="E282" s="38">
        <f>B282*Yield_m</f>
        <v/>
      </c>
      <c r="F282" s="38">
        <f>IF(Reinvest="Sim",E282,0)</f>
        <v/>
      </c>
      <c r="G282" s="38">
        <f>(B282+F282)*Growth_m</f>
        <v/>
      </c>
      <c r="H282" s="38">
        <f>B282+F282+G282</f>
        <v/>
      </c>
      <c r="I282" s="38">
        <f>I281+(E282-F282)</f>
        <v/>
      </c>
      <c r="J282" s="38">
        <f>H282+I282</f>
        <v/>
      </c>
      <c r="K282" s="38">
        <f>(E282-F282)-D282+IF(A282=Horizon,H282,0)</f>
        <v/>
      </c>
    </row>
    <row r="283" ht="16" customHeight="1">
      <c r="A283" s="37" t="n">
        <v>278</v>
      </c>
      <c r="B283" s="38">
        <f>C283+D283</f>
        <v/>
      </c>
      <c r="C283" s="38">
        <f>H282</f>
        <v/>
      </c>
      <c r="D283" s="38">
        <f>Monthly</f>
        <v/>
      </c>
      <c r="E283" s="38">
        <f>B283*Yield_m</f>
        <v/>
      </c>
      <c r="F283" s="38">
        <f>IF(Reinvest="Sim",E283,0)</f>
        <v/>
      </c>
      <c r="G283" s="38">
        <f>(B283+F283)*Growth_m</f>
        <v/>
      </c>
      <c r="H283" s="38">
        <f>B283+F283+G283</f>
        <v/>
      </c>
      <c r="I283" s="38">
        <f>I282+(E283-F283)</f>
        <v/>
      </c>
      <c r="J283" s="38">
        <f>H283+I283</f>
        <v/>
      </c>
      <c r="K283" s="38">
        <f>(E283-F283)-D283+IF(A283=Horizon,H283,0)</f>
        <v/>
      </c>
    </row>
    <row r="284" ht="16" customHeight="1">
      <c r="A284" s="37" t="n">
        <v>279</v>
      </c>
      <c r="B284" s="38">
        <f>C284+D284</f>
        <v/>
      </c>
      <c r="C284" s="38">
        <f>H283</f>
        <v/>
      </c>
      <c r="D284" s="38">
        <f>Monthly</f>
        <v/>
      </c>
      <c r="E284" s="38">
        <f>B284*Yield_m</f>
        <v/>
      </c>
      <c r="F284" s="38">
        <f>IF(Reinvest="Sim",E284,0)</f>
        <v/>
      </c>
      <c r="G284" s="38">
        <f>(B284+F284)*Growth_m</f>
        <v/>
      </c>
      <c r="H284" s="38">
        <f>B284+F284+G284</f>
        <v/>
      </c>
      <c r="I284" s="38">
        <f>I283+(E284-F284)</f>
        <v/>
      </c>
      <c r="J284" s="38">
        <f>H284+I284</f>
        <v/>
      </c>
      <c r="K284" s="38">
        <f>(E284-F284)-D284+IF(A284=Horizon,H284,0)</f>
        <v/>
      </c>
    </row>
    <row r="285" ht="16" customHeight="1">
      <c r="A285" s="37" t="n">
        <v>280</v>
      </c>
      <c r="B285" s="38">
        <f>C285+D285</f>
        <v/>
      </c>
      <c r="C285" s="38">
        <f>H284</f>
        <v/>
      </c>
      <c r="D285" s="38">
        <f>Monthly</f>
        <v/>
      </c>
      <c r="E285" s="38">
        <f>B285*Yield_m</f>
        <v/>
      </c>
      <c r="F285" s="38">
        <f>IF(Reinvest="Sim",E285,0)</f>
        <v/>
      </c>
      <c r="G285" s="38">
        <f>(B285+F285)*Growth_m</f>
        <v/>
      </c>
      <c r="H285" s="38">
        <f>B285+F285+G285</f>
        <v/>
      </c>
      <c r="I285" s="38">
        <f>I284+(E285-F285)</f>
        <v/>
      </c>
      <c r="J285" s="38">
        <f>H285+I285</f>
        <v/>
      </c>
      <c r="K285" s="38">
        <f>(E285-F285)-D285+IF(A285=Horizon,H285,0)</f>
        <v/>
      </c>
    </row>
    <row r="286" ht="16" customHeight="1">
      <c r="A286" s="37" t="n">
        <v>281</v>
      </c>
      <c r="B286" s="38">
        <f>C286+D286</f>
        <v/>
      </c>
      <c r="C286" s="38">
        <f>H285</f>
        <v/>
      </c>
      <c r="D286" s="38">
        <f>Monthly</f>
        <v/>
      </c>
      <c r="E286" s="38">
        <f>B286*Yield_m</f>
        <v/>
      </c>
      <c r="F286" s="38">
        <f>IF(Reinvest="Sim",E286,0)</f>
        <v/>
      </c>
      <c r="G286" s="38">
        <f>(B286+F286)*Growth_m</f>
        <v/>
      </c>
      <c r="H286" s="38">
        <f>B286+F286+G286</f>
        <v/>
      </c>
      <c r="I286" s="38">
        <f>I285+(E286-F286)</f>
        <v/>
      </c>
      <c r="J286" s="38">
        <f>H286+I286</f>
        <v/>
      </c>
      <c r="K286" s="38">
        <f>(E286-F286)-D286+IF(A286=Horizon,H286,0)</f>
        <v/>
      </c>
    </row>
    <row r="287" ht="16" customHeight="1">
      <c r="A287" s="37" t="n">
        <v>282</v>
      </c>
      <c r="B287" s="38">
        <f>C287+D287</f>
        <v/>
      </c>
      <c r="C287" s="38">
        <f>H286</f>
        <v/>
      </c>
      <c r="D287" s="38">
        <f>Monthly</f>
        <v/>
      </c>
      <c r="E287" s="38">
        <f>B287*Yield_m</f>
        <v/>
      </c>
      <c r="F287" s="38">
        <f>IF(Reinvest="Sim",E287,0)</f>
        <v/>
      </c>
      <c r="G287" s="38">
        <f>(B287+F287)*Growth_m</f>
        <v/>
      </c>
      <c r="H287" s="38">
        <f>B287+F287+G287</f>
        <v/>
      </c>
      <c r="I287" s="38">
        <f>I286+(E287-F287)</f>
        <v/>
      </c>
      <c r="J287" s="38">
        <f>H287+I287</f>
        <v/>
      </c>
      <c r="K287" s="38">
        <f>(E287-F287)-D287+IF(A287=Horizon,H287,0)</f>
        <v/>
      </c>
    </row>
    <row r="288" ht="16" customHeight="1">
      <c r="A288" s="37" t="n">
        <v>283</v>
      </c>
      <c r="B288" s="38">
        <f>C288+D288</f>
        <v/>
      </c>
      <c r="C288" s="38">
        <f>H287</f>
        <v/>
      </c>
      <c r="D288" s="38">
        <f>Monthly</f>
        <v/>
      </c>
      <c r="E288" s="38">
        <f>B288*Yield_m</f>
        <v/>
      </c>
      <c r="F288" s="38">
        <f>IF(Reinvest="Sim",E288,0)</f>
        <v/>
      </c>
      <c r="G288" s="38">
        <f>(B288+F288)*Growth_m</f>
        <v/>
      </c>
      <c r="H288" s="38">
        <f>B288+F288+G288</f>
        <v/>
      </c>
      <c r="I288" s="38">
        <f>I287+(E288-F288)</f>
        <v/>
      </c>
      <c r="J288" s="38">
        <f>H288+I288</f>
        <v/>
      </c>
      <c r="K288" s="38">
        <f>(E288-F288)-D288+IF(A288=Horizon,H288,0)</f>
        <v/>
      </c>
    </row>
    <row r="289" ht="16" customHeight="1">
      <c r="A289" s="37" t="n">
        <v>284</v>
      </c>
      <c r="B289" s="38">
        <f>C289+D289</f>
        <v/>
      </c>
      <c r="C289" s="38">
        <f>H288</f>
        <v/>
      </c>
      <c r="D289" s="38">
        <f>Monthly</f>
        <v/>
      </c>
      <c r="E289" s="38">
        <f>B289*Yield_m</f>
        <v/>
      </c>
      <c r="F289" s="38">
        <f>IF(Reinvest="Sim",E289,0)</f>
        <v/>
      </c>
      <c r="G289" s="38">
        <f>(B289+F289)*Growth_m</f>
        <v/>
      </c>
      <c r="H289" s="38">
        <f>B289+F289+G289</f>
        <v/>
      </c>
      <c r="I289" s="38">
        <f>I288+(E289-F289)</f>
        <v/>
      </c>
      <c r="J289" s="38">
        <f>H289+I289</f>
        <v/>
      </c>
      <c r="K289" s="38">
        <f>(E289-F289)-D289+IF(A289=Horizon,H289,0)</f>
        <v/>
      </c>
    </row>
    <row r="290" ht="16" customHeight="1">
      <c r="A290" s="37" t="n">
        <v>285</v>
      </c>
      <c r="B290" s="38">
        <f>C290+D290</f>
        <v/>
      </c>
      <c r="C290" s="38">
        <f>H289</f>
        <v/>
      </c>
      <c r="D290" s="38">
        <f>Monthly</f>
        <v/>
      </c>
      <c r="E290" s="38">
        <f>B290*Yield_m</f>
        <v/>
      </c>
      <c r="F290" s="38">
        <f>IF(Reinvest="Sim",E290,0)</f>
        <v/>
      </c>
      <c r="G290" s="38">
        <f>(B290+F290)*Growth_m</f>
        <v/>
      </c>
      <c r="H290" s="38">
        <f>B290+F290+G290</f>
        <v/>
      </c>
      <c r="I290" s="38">
        <f>I289+(E290-F290)</f>
        <v/>
      </c>
      <c r="J290" s="38">
        <f>H290+I290</f>
        <v/>
      </c>
      <c r="K290" s="38">
        <f>(E290-F290)-D290+IF(A290=Horizon,H290,0)</f>
        <v/>
      </c>
    </row>
    <row r="291" ht="16" customHeight="1">
      <c r="A291" s="37" t="n">
        <v>286</v>
      </c>
      <c r="B291" s="38">
        <f>C291+D291</f>
        <v/>
      </c>
      <c r="C291" s="38">
        <f>H290</f>
        <v/>
      </c>
      <c r="D291" s="38">
        <f>Monthly</f>
        <v/>
      </c>
      <c r="E291" s="38">
        <f>B291*Yield_m</f>
        <v/>
      </c>
      <c r="F291" s="38">
        <f>IF(Reinvest="Sim",E291,0)</f>
        <v/>
      </c>
      <c r="G291" s="38">
        <f>(B291+F291)*Growth_m</f>
        <v/>
      </c>
      <c r="H291" s="38">
        <f>B291+F291+G291</f>
        <v/>
      </c>
      <c r="I291" s="38">
        <f>I290+(E291-F291)</f>
        <v/>
      </c>
      <c r="J291" s="38">
        <f>H291+I291</f>
        <v/>
      </c>
      <c r="K291" s="38">
        <f>(E291-F291)-D291+IF(A291=Horizon,H291,0)</f>
        <v/>
      </c>
    </row>
    <row r="292" ht="16" customHeight="1">
      <c r="A292" s="37" t="n">
        <v>287</v>
      </c>
      <c r="B292" s="38">
        <f>C292+D292</f>
        <v/>
      </c>
      <c r="C292" s="38">
        <f>H291</f>
        <v/>
      </c>
      <c r="D292" s="38">
        <f>Monthly</f>
        <v/>
      </c>
      <c r="E292" s="38">
        <f>B292*Yield_m</f>
        <v/>
      </c>
      <c r="F292" s="38">
        <f>IF(Reinvest="Sim",E292,0)</f>
        <v/>
      </c>
      <c r="G292" s="38">
        <f>(B292+F292)*Growth_m</f>
        <v/>
      </c>
      <c r="H292" s="38">
        <f>B292+F292+G292</f>
        <v/>
      </c>
      <c r="I292" s="38">
        <f>I291+(E292-F292)</f>
        <v/>
      </c>
      <c r="J292" s="38">
        <f>H292+I292</f>
        <v/>
      </c>
      <c r="K292" s="38">
        <f>(E292-F292)-D292+IF(A292=Horizon,H292,0)</f>
        <v/>
      </c>
    </row>
    <row r="293" ht="16" customHeight="1">
      <c r="A293" s="37" t="n">
        <v>288</v>
      </c>
      <c r="B293" s="38">
        <f>C293+D293</f>
        <v/>
      </c>
      <c r="C293" s="38">
        <f>H292</f>
        <v/>
      </c>
      <c r="D293" s="38">
        <f>Monthly</f>
        <v/>
      </c>
      <c r="E293" s="38">
        <f>B293*Yield_m</f>
        <v/>
      </c>
      <c r="F293" s="38">
        <f>IF(Reinvest="Sim",E293,0)</f>
        <v/>
      </c>
      <c r="G293" s="38">
        <f>(B293+F293)*Growth_m</f>
        <v/>
      </c>
      <c r="H293" s="38">
        <f>B293+F293+G293</f>
        <v/>
      </c>
      <c r="I293" s="38">
        <f>I292+(E293-F293)</f>
        <v/>
      </c>
      <c r="J293" s="38">
        <f>H293+I293</f>
        <v/>
      </c>
      <c r="K293" s="38">
        <f>(E293-F293)-D293+IF(A293=Horizon,H293,0)</f>
        <v/>
      </c>
    </row>
    <row r="294" ht="16" customHeight="1">
      <c r="A294" s="37" t="n">
        <v>289</v>
      </c>
      <c r="B294" s="38">
        <f>C294+D294</f>
        <v/>
      </c>
      <c r="C294" s="38">
        <f>H293</f>
        <v/>
      </c>
      <c r="D294" s="38">
        <f>Monthly</f>
        <v/>
      </c>
      <c r="E294" s="38">
        <f>B294*Yield_m</f>
        <v/>
      </c>
      <c r="F294" s="38">
        <f>IF(Reinvest="Sim",E294,0)</f>
        <v/>
      </c>
      <c r="G294" s="38">
        <f>(B294+F294)*Growth_m</f>
        <v/>
      </c>
      <c r="H294" s="38">
        <f>B294+F294+G294</f>
        <v/>
      </c>
      <c r="I294" s="38">
        <f>I293+(E294-F294)</f>
        <v/>
      </c>
      <c r="J294" s="38">
        <f>H294+I294</f>
        <v/>
      </c>
      <c r="K294" s="38">
        <f>(E294-F294)-D294+IF(A294=Horizon,H294,0)</f>
        <v/>
      </c>
    </row>
    <row r="295" ht="16" customHeight="1">
      <c r="A295" s="37" t="n">
        <v>290</v>
      </c>
      <c r="B295" s="38">
        <f>C295+D295</f>
        <v/>
      </c>
      <c r="C295" s="38">
        <f>H294</f>
        <v/>
      </c>
      <c r="D295" s="38">
        <f>Monthly</f>
        <v/>
      </c>
      <c r="E295" s="38">
        <f>B295*Yield_m</f>
        <v/>
      </c>
      <c r="F295" s="38">
        <f>IF(Reinvest="Sim",E295,0)</f>
        <v/>
      </c>
      <c r="G295" s="38">
        <f>(B295+F295)*Growth_m</f>
        <v/>
      </c>
      <c r="H295" s="38">
        <f>B295+F295+G295</f>
        <v/>
      </c>
      <c r="I295" s="38">
        <f>I294+(E295-F295)</f>
        <v/>
      </c>
      <c r="J295" s="38">
        <f>H295+I295</f>
        <v/>
      </c>
      <c r="K295" s="38">
        <f>(E295-F295)-D295+IF(A295=Horizon,H295,0)</f>
        <v/>
      </c>
    </row>
    <row r="296" ht="16" customHeight="1">
      <c r="A296" s="37" t="n">
        <v>291</v>
      </c>
      <c r="B296" s="38">
        <f>C296+D296</f>
        <v/>
      </c>
      <c r="C296" s="38">
        <f>H295</f>
        <v/>
      </c>
      <c r="D296" s="38">
        <f>Monthly</f>
        <v/>
      </c>
      <c r="E296" s="38">
        <f>B296*Yield_m</f>
        <v/>
      </c>
      <c r="F296" s="38">
        <f>IF(Reinvest="Sim",E296,0)</f>
        <v/>
      </c>
      <c r="G296" s="38">
        <f>(B296+F296)*Growth_m</f>
        <v/>
      </c>
      <c r="H296" s="38">
        <f>B296+F296+G296</f>
        <v/>
      </c>
      <c r="I296" s="38">
        <f>I295+(E296-F296)</f>
        <v/>
      </c>
      <c r="J296" s="38">
        <f>H296+I296</f>
        <v/>
      </c>
      <c r="K296" s="38">
        <f>(E296-F296)-D296+IF(A296=Horizon,H296,0)</f>
        <v/>
      </c>
    </row>
    <row r="297" ht="16" customHeight="1">
      <c r="A297" s="37" t="n">
        <v>292</v>
      </c>
      <c r="B297" s="38">
        <f>C297+D297</f>
        <v/>
      </c>
      <c r="C297" s="38">
        <f>H296</f>
        <v/>
      </c>
      <c r="D297" s="38">
        <f>Monthly</f>
        <v/>
      </c>
      <c r="E297" s="38">
        <f>B297*Yield_m</f>
        <v/>
      </c>
      <c r="F297" s="38">
        <f>IF(Reinvest="Sim",E297,0)</f>
        <v/>
      </c>
      <c r="G297" s="38">
        <f>(B297+F297)*Growth_m</f>
        <v/>
      </c>
      <c r="H297" s="38">
        <f>B297+F297+G297</f>
        <v/>
      </c>
      <c r="I297" s="38">
        <f>I296+(E297-F297)</f>
        <v/>
      </c>
      <c r="J297" s="38">
        <f>H297+I297</f>
        <v/>
      </c>
      <c r="K297" s="38">
        <f>(E297-F297)-D297+IF(A297=Horizon,H297,0)</f>
        <v/>
      </c>
    </row>
    <row r="298" ht="16" customHeight="1">
      <c r="A298" s="37" t="n">
        <v>293</v>
      </c>
      <c r="B298" s="38">
        <f>C298+D298</f>
        <v/>
      </c>
      <c r="C298" s="38">
        <f>H297</f>
        <v/>
      </c>
      <c r="D298" s="38">
        <f>Monthly</f>
        <v/>
      </c>
      <c r="E298" s="38">
        <f>B298*Yield_m</f>
        <v/>
      </c>
      <c r="F298" s="38">
        <f>IF(Reinvest="Sim",E298,0)</f>
        <v/>
      </c>
      <c r="G298" s="38">
        <f>(B298+F298)*Growth_m</f>
        <v/>
      </c>
      <c r="H298" s="38">
        <f>B298+F298+G298</f>
        <v/>
      </c>
      <c r="I298" s="38">
        <f>I297+(E298-F298)</f>
        <v/>
      </c>
      <c r="J298" s="38">
        <f>H298+I298</f>
        <v/>
      </c>
      <c r="K298" s="38">
        <f>(E298-F298)-D298+IF(A298=Horizon,H298,0)</f>
        <v/>
      </c>
    </row>
    <row r="299" ht="16" customHeight="1">
      <c r="A299" s="37" t="n">
        <v>294</v>
      </c>
      <c r="B299" s="38">
        <f>C299+D299</f>
        <v/>
      </c>
      <c r="C299" s="38">
        <f>H298</f>
        <v/>
      </c>
      <c r="D299" s="38">
        <f>Monthly</f>
        <v/>
      </c>
      <c r="E299" s="38">
        <f>B299*Yield_m</f>
        <v/>
      </c>
      <c r="F299" s="38">
        <f>IF(Reinvest="Sim",E299,0)</f>
        <v/>
      </c>
      <c r="G299" s="38">
        <f>(B299+F299)*Growth_m</f>
        <v/>
      </c>
      <c r="H299" s="38">
        <f>B299+F299+G299</f>
        <v/>
      </c>
      <c r="I299" s="38">
        <f>I298+(E299-F299)</f>
        <v/>
      </c>
      <c r="J299" s="38">
        <f>H299+I299</f>
        <v/>
      </c>
      <c r="K299" s="38">
        <f>(E299-F299)-D299+IF(A299=Horizon,H299,0)</f>
        <v/>
      </c>
    </row>
    <row r="300" ht="16" customHeight="1">
      <c r="A300" s="37" t="n">
        <v>295</v>
      </c>
      <c r="B300" s="38">
        <f>C300+D300</f>
        <v/>
      </c>
      <c r="C300" s="38">
        <f>H299</f>
        <v/>
      </c>
      <c r="D300" s="38">
        <f>Monthly</f>
        <v/>
      </c>
      <c r="E300" s="38">
        <f>B300*Yield_m</f>
        <v/>
      </c>
      <c r="F300" s="38">
        <f>IF(Reinvest="Sim",E300,0)</f>
        <v/>
      </c>
      <c r="G300" s="38">
        <f>(B300+F300)*Growth_m</f>
        <v/>
      </c>
      <c r="H300" s="38">
        <f>B300+F300+G300</f>
        <v/>
      </c>
      <c r="I300" s="38">
        <f>I299+(E300-F300)</f>
        <v/>
      </c>
      <c r="J300" s="38">
        <f>H300+I300</f>
        <v/>
      </c>
      <c r="K300" s="38">
        <f>(E300-F300)-D300+IF(A300=Horizon,H300,0)</f>
        <v/>
      </c>
    </row>
    <row r="301" ht="16" customHeight="1">
      <c r="A301" s="37" t="n">
        <v>296</v>
      </c>
      <c r="B301" s="38">
        <f>C301+D301</f>
        <v/>
      </c>
      <c r="C301" s="38">
        <f>H300</f>
        <v/>
      </c>
      <c r="D301" s="38">
        <f>Monthly</f>
        <v/>
      </c>
      <c r="E301" s="38">
        <f>B301*Yield_m</f>
        <v/>
      </c>
      <c r="F301" s="38">
        <f>IF(Reinvest="Sim",E301,0)</f>
        <v/>
      </c>
      <c r="G301" s="38">
        <f>(B301+F301)*Growth_m</f>
        <v/>
      </c>
      <c r="H301" s="38">
        <f>B301+F301+G301</f>
        <v/>
      </c>
      <c r="I301" s="38">
        <f>I300+(E301-F301)</f>
        <v/>
      </c>
      <c r="J301" s="38">
        <f>H301+I301</f>
        <v/>
      </c>
      <c r="K301" s="38">
        <f>(E301-F301)-D301+IF(A301=Horizon,H301,0)</f>
        <v/>
      </c>
    </row>
    <row r="302" ht="16" customHeight="1">
      <c r="A302" s="37" t="n">
        <v>297</v>
      </c>
      <c r="B302" s="38">
        <f>C302+D302</f>
        <v/>
      </c>
      <c r="C302" s="38">
        <f>H301</f>
        <v/>
      </c>
      <c r="D302" s="38">
        <f>Monthly</f>
        <v/>
      </c>
      <c r="E302" s="38">
        <f>B302*Yield_m</f>
        <v/>
      </c>
      <c r="F302" s="38">
        <f>IF(Reinvest="Sim",E302,0)</f>
        <v/>
      </c>
      <c r="G302" s="38">
        <f>(B302+F302)*Growth_m</f>
        <v/>
      </c>
      <c r="H302" s="38">
        <f>B302+F302+G302</f>
        <v/>
      </c>
      <c r="I302" s="38">
        <f>I301+(E302-F302)</f>
        <v/>
      </c>
      <c r="J302" s="38">
        <f>H302+I302</f>
        <v/>
      </c>
      <c r="K302" s="38">
        <f>(E302-F302)-D302+IF(A302=Horizon,H302,0)</f>
        <v/>
      </c>
    </row>
    <row r="303" ht="16" customHeight="1">
      <c r="A303" s="37" t="n">
        <v>298</v>
      </c>
      <c r="B303" s="38">
        <f>C303+D303</f>
        <v/>
      </c>
      <c r="C303" s="38">
        <f>H302</f>
        <v/>
      </c>
      <c r="D303" s="38">
        <f>Monthly</f>
        <v/>
      </c>
      <c r="E303" s="38">
        <f>B303*Yield_m</f>
        <v/>
      </c>
      <c r="F303" s="38">
        <f>IF(Reinvest="Sim",E303,0)</f>
        <v/>
      </c>
      <c r="G303" s="38">
        <f>(B303+F303)*Growth_m</f>
        <v/>
      </c>
      <c r="H303" s="38">
        <f>B303+F303+G303</f>
        <v/>
      </c>
      <c r="I303" s="38">
        <f>I302+(E303-F303)</f>
        <v/>
      </c>
      <c r="J303" s="38">
        <f>H303+I303</f>
        <v/>
      </c>
      <c r="K303" s="38">
        <f>(E303-F303)-D303+IF(A303=Horizon,H303,0)</f>
        <v/>
      </c>
    </row>
    <row r="304" ht="16" customHeight="1">
      <c r="A304" s="37" t="n">
        <v>299</v>
      </c>
      <c r="B304" s="38">
        <f>C304+D304</f>
        <v/>
      </c>
      <c r="C304" s="38">
        <f>H303</f>
        <v/>
      </c>
      <c r="D304" s="38">
        <f>Monthly</f>
        <v/>
      </c>
      <c r="E304" s="38">
        <f>B304*Yield_m</f>
        <v/>
      </c>
      <c r="F304" s="38">
        <f>IF(Reinvest="Sim",E304,0)</f>
        <v/>
      </c>
      <c r="G304" s="38">
        <f>(B304+F304)*Growth_m</f>
        <v/>
      </c>
      <c r="H304" s="38">
        <f>B304+F304+G304</f>
        <v/>
      </c>
      <c r="I304" s="38">
        <f>I303+(E304-F304)</f>
        <v/>
      </c>
      <c r="J304" s="38">
        <f>H304+I304</f>
        <v/>
      </c>
      <c r="K304" s="38">
        <f>(E304-F304)-D304+IF(A304=Horizon,H304,0)</f>
        <v/>
      </c>
    </row>
    <row r="305" ht="16" customHeight="1">
      <c r="A305" s="37" t="n">
        <v>300</v>
      </c>
      <c r="B305" s="38">
        <f>C305+D305</f>
        <v/>
      </c>
      <c r="C305" s="38">
        <f>H304</f>
        <v/>
      </c>
      <c r="D305" s="38">
        <f>Monthly</f>
        <v/>
      </c>
      <c r="E305" s="38">
        <f>B305*Yield_m</f>
        <v/>
      </c>
      <c r="F305" s="38">
        <f>IF(Reinvest="Sim",E305,0)</f>
        <v/>
      </c>
      <c r="G305" s="38">
        <f>(B305+F305)*Growth_m</f>
        <v/>
      </c>
      <c r="H305" s="38">
        <f>B305+F305+G305</f>
        <v/>
      </c>
      <c r="I305" s="38">
        <f>I304+(E305-F305)</f>
        <v/>
      </c>
      <c r="J305" s="38">
        <f>H305+I305</f>
        <v/>
      </c>
      <c r="K305" s="38">
        <f>(E305-F305)-D305+IF(A305=Horizon,H305,0)</f>
        <v/>
      </c>
    </row>
    <row r="306" ht="16" customHeight="1">
      <c r="A306" s="37" t="n">
        <v>301</v>
      </c>
      <c r="B306" s="38">
        <f>C306+D306</f>
        <v/>
      </c>
      <c r="C306" s="38">
        <f>H305</f>
        <v/>
      </c>
      <c r="D306" s="38">
        <f>Monthly</f>
        <v/>
      </c>
      <c r="E306" s="38">
        <f>B306*Yield_m</f>
        <v/>
      </c>
      <c r="F306" s="38">
        <f>IF(Reinvest="Sim",E306,0)</f>
        <v/>
      </c>
      <c r="G306" s="38">
        <f>(B306+F306)*Growth_m</f>
        <v/>
      </c>
      <c r="H306" s="38">
        <f>B306+F306+G306</f>
        <v/>
      </c>
      <c r="I306" s="38">
        <f>I305+(E306-F306)</f>
        <v/>
      </c>
      <c r="J306" s="38">
        <f>H306+I306</f>
        <v/>
      </c>
      <c r="K306" s="38">
        <f>(E306-F306)-D306+IF(A306=Horizon,H306,0)</f>
        <v/>
      </c>
    </row>
    <row r="307" ht="16" customHeight="1">
      <c r="A307" s="37" t="n">
        <v>302</v>
      </c>
      <c r="B307" s="38">
        <f>C307+D307</f>
        <v/>
      </c>
      <c r="C307" s="38">
        <f>H306</f>
        <v/>
      </c>
      <c r="D307" s="38">
        <f>Monthly</f>
        <v/>
      </c>
      <c r="E307" s="38">
        <f>B307*Yield_m</f>
        <v/>
      </c>
      <c r="F307" s="38">
        <f>IF(Reinvest="Sim",E307,0)</f>
        <v/>
      </c>
      <c r="G307" s="38">
        <f>(B307+F307)*Growth_m</f>
        <v/>
      </c>
      <c r="H307" s="38">
        <f>B307+F307+G307</f>
        <v/>
      </c>
      <c r="I307" s="38">
        <f>I306+(E307-F307)</f>
        <v/>
      </c>
      <c r="J307" s="38">
        <f>H307+I307</f>
        <v/>
      </c>
      <c r="K307" s="38">
        <f>(E307-F307)-D307+IF(A307=Horizon,H307,0)</f>
        <v/>
      </c>
    </row>
    <row r="308" ht="16" customHeight="1">
      <c r="A308" s="37" t="n">
        <v>303</v>
      </c>
      <c r="B308" s="38">
        <f>C308+D308</f>
        <v/>
      </c>
      <c r="C308" s="38">
        <f>H307</f>
        <v/>
      </c>
      <c r="D308" s="38">
        <f>Monthly</f>
        <v/>
      </c>
      <c r="E308" s="38">
        <f>B308*Yield_m</f>
        <v/>
      </c>
      <c r="F308" s="38">
        <f>IF(Reinvest="Sim",E308,0)</f>
        <v/>
      </c>
      <c r="G308" s="38">
        <f>(B308+F308)*Growth_m</f>
        <v/>
      </c>
      <c r="H308" s="38">
        <f>B308+F308+G308</f>
        <v/>
      </c>
      <c r="I308" s="38">
        <f>I307+(E308-F308)</f>
        <v/>
      </c>
      <c r="J308" s="38">
        <f>H308+I308</f>
        <v/>
      </c>
      <c r="K308" s="38">
        <f>(E308-F308)-D308+IF(A308=Horizon,H308,0)</f>
        <v/>
      </c>
    </row>
    <row r="309" ht="16" customHeight="1">
      <c r="A309" s="37" t="n">
        <v>304</v>
      </c>
      <c r="B309" s="38">
        <f>C309+D309</f>
        <v/>
      </c>
      <c r="C309" s="38">
        <f>H308</f>
        <v/>
      </c>
      <c r="D309" s="38">
        <f>Monthly</f>
        <v/>
      </c>
      <c r="E309" s="38">
        <f>B309*Yield_m</f>
        <v/>
      </c>
      <c r="F309" s="38">
        <f>IF(Reinvest="Sim",E309,0)</f>
        <v/>
      </c>
      <c r="G309" s="38">
        <f>(B309+F309)*Growth_m</f>
        <v/>
      </c>
      <c r="H309" s="38">
        <f>B309+F309+G309</f>
        <v/>
      </c>
      <c r="I309" s="38">
        <f>I308+(E309-F309)</f>
        <v/>
      </c>
      <c r="J309" s="38">
        <f>H309+I309</f>
        <v/>
      </c>
      <c r="K309" s="38">
        <f>(E309-F309)-D309+IF(A309=Horizon,H309,0)</f>
        <v/>
      </c>
    </row>
    <row r="310" ht="16" customHeight="1">
      <c r="A310" s="37" t="n">
        <v>305</v>
      </c>
      <c r="B310" s="38">
        <f>C310+D310</f>
        <v/>
      </c>
      <c r="C310" s="38">
        <f>H309</f>
        <v/>
      </c>
      <c r="D310" s="38">
        <f>Monthly</f>
        <v/>
      </c>
      <c r="E310" s="38">
        <f>B310*Yield_m</f>
        <v/>
      </c>
      <c r="F310" s="38">
        <f>IF(Reinvest="Sim",E310,0)</f>
        <v/>
      </c>
      <c r="G310" s="38">
        <f>(B310+F310)*Growth_m</f>
        <v/>
      </c>
      <c r="H310" s="38">
        <f>B310+F310+G310</f>
        <v/>
      </c>
      <c r="I310" s="38">
        <f>I309+(E310-F310)</f>
        <v/>
      </c>
      <c r="J310" s="38">
        <f>H310+I310</f>
        <v/>
      </c>
      <c r="K310" s="38">
        <f>(E310-F310)-D310+IF(A310=Horizon,H310,0)</f>
        <v/>
      </c>
    </row>
    <row r="311" ht="16" customHeight="1">
      <c r="A311" s="37" t="n">
        <v>306</v>
      </c>
      <c r="B311" s="38">
        <f>C311+D311</f>
        <v/>
      </c>
      <c r="C311" s="38">
        <f>H310</f>
        <v/>
      </c>
      <c r="D311" s="38">
        <f>Monthly</f>
        <v/>
      </c>
      <c r="E311" s="38">
        <f>B311*Yield_m</f>
        <v/>
      </c>
      <c r="F311" s="38">
        <f>IF(Reinvest="Sim",E311,0)</f>
        <v/>
      </c>
      <c r="G311" s="38">
        <f>(B311+F311)*Growth_m</f>
        <v/>
      </c>
      <c r="H311" s="38">
        <f>B311+F311+G311</f>
        <v/>
      </c>
      <c r="I311" s="38">
        <f>I310+(E311-F311)</f>
        <v/>
      </c>
      <c r="J311" s="38">
        <f>H311+I311</f>
        <v/>
      </c>
      <c r="K311" s="38">
        <f>(E311-F311)-D311+IF(A311=Horizon,H311,0)</f>
        <v/>
      </c>
    </row>
    <row r="312" ht="16" customHeight="1">
      <c r="A312" s="37" t="n">
        <v>307</v>
      </c>
      <c r="B312" s="38">
        <f>C312+D312</f>
        <v/>
      </c>
      <c r="C312" s="38">
        <f>H311</f>
        <v/>
      </c>
      <c r="D312" s="38">
        <f>Monthly</f>
        <v/>
      </c>
      <c r="E312" s="38">
        <f>B312*Yield_m</f>
        <v/>
      </c>
      <c r="F312" s="38">
        <f>IF(Reinvest="Sim",E312,0)</f>
        <v/>
      </c>
      <c r="G312" s="38">
        <f>(B312+F312)*Growth_m</f>
        <v/>
      </c>
      <c r="H312" s="38">
        <f>B312+F312+G312</f>
        <v/>
      </c>
      <c r="I312" s="38">
        <f>I311+(E312-F312)</f>
        <v/>
      </c>
      <c r="J312" s="38">
        <f>H312+I312</f>
        <v/>
      </c>
      <c r="K312" s="38">
        <f>(E312-F312)-D312+IF(A312=Horizon,H312,0)</f>
        <v/>
      </c>
    </row>
    <row r="313" ht="16" customHeight="1">
      <c r="A313" s="37" t="n">
        <v>308</v>
      </c>
      <c r="B313" s="38">
        <f>C313+D313</f>
        <v/>
      </c>
      <c r="C313" s="38">
        <f>H312</f>
        <v/>
      </c>
      <c r="D313" s="38">
        <f>Monthly</f>
        <v/>
      </c>
      <c r="E313" s="38">
        <f>B313*Yield_m</f>
        <v/>
      </c>
      <c r="F313" s="38">
        <f>IF(Reinvest="Sim",E313,0)</f>
        <v/>
      </c>
      <c r="G313" s="38">
        <f>(B313+F313)*Growth_m</f>
        <v/>
      </c>
      <c r="H313" s="38">
        <f>B313+F313+G313</f>
        <v/>
      </c>
      <c r="I313" s="38">
        <f>I312+(E313-F313)</f>
        <v/>
      </c>
      <c r="J313" s="38">
        <f>H313+I313</f>
        <v/>
      </c>
      <c r="K313" s="38">
        <f>(E313-F313)-D313+IF(A313=Horizon,H313,0)</f>
        <v/>
      </c>
    </row>
    <row r="314" ht="16" customHeight="1">
      <c r="A314" s="37" t="n">
        <v>309</v>
      </c>
      <c r="B314" s="38">
        <f>C314+D314</f>
        <v/>
      </c>
      <c r="C314" s="38">
        <f>H313</f>
        <v/>
      </c>
      <c r="D314" s="38">
        <f>Monthly</f>
        <v/>
      </c>
      <c r="E314" s="38">
        <f>B314*Yield_m</f>
        <v/>
      </c>
      <c r="F314" s="38">
        <f>IF(Reinvest="Sim",E314,0)</f>
        <v/>
      </c>
      <c r="G314" s="38">
        <f>(B314+F314)*Growth_m</f>
        <v/>
      </c>
      <c r="H314" s="38">
        <f>B314+F314+G314</f>
        <v/>
      </c>
      <c r="I314" s="38">
        <f>I313+(E314-F314)</f>
        <v/>
      </c>
      <c r="J314" s="38">
        <f>H314+I314</f>
        <v/>
      </c>
      <c r="K314" s="38">
        <f>(E314-F314)-D314+IF(A314=Horizon,H314,0)</f>
        <v/>
      </c>
    </row>
    <row r="315" ht="16" customHeight="1">
      <c r="A315" s="37" t="n">
        <v>310</v>
      </c>
      <c r="B315" s="38">
        <f>C315+D315</f>
        <v/>
      </c>
      <c r="C315" s="38">
        <f>H314</f>
        <v/>
      </c>
      <c r="D315" s="38">
        <f>Monthly</f>
        <v/>
      </c>
      <c r="E315" s="38">
        <f>B315*Yield_m</f>
        <v/>
      </c>
      <c r="F315" s="38">
        <f>IF(Reinvest="Sim",E315,0)</f>
        <v/>
      </c>
      <c r="G315" s="38">
        <f>(B315+F315)*Growth_m</f>
        <v/>
      </c>
      <c r="H315" s="38">
        <f>B315+F315+G315</f>
        <v/>
      </c>
      <c r="I315" s="38">
        <f>I314+(E315-F315)</f>
        <v/>
      </c>
      <c r="J315" s="38">
        <f>H315+I315</f>
        <v/>
      </c>
      <c r="K315" s="38">
        <f>(E315-F315)-D315+IF(A315=Horizon,H315,0)</f>
        <v/>
      </c>
    </row>
    <row r="316" ht="16" customHeight="1">
      <c r="A316" s="37" t="n">
        <v>311</v>
      </c>
      <c r="B316" s="38">
        <f>C316+D316</f>
        <v/>
      </c>
      <c r="C316" s="38">
        <f>H315</f>
        <v/>
      </c>
      <c r="D316" s="38">
        <f>Monthly</f>
        <v/>
      </c>
      <c r="E316" s="38">
        <f>B316*Yield_m</f>
        <v/>
      </c>
      <c r="F316" s="38">
        <f>IF(Reinvest="Sim",E316,0)</f>
        <v/>
      </c>
      <c r="G316" s="38">
        <f>(B316+F316)*Growth_m</f>
        <v/>
      </c>
      <c r="H316" s="38">
        <f>B316+F316+G316</f>
        <v/>
      </c>
      <c r="I316" s="38">
        <f>I315+(E316-F316)</f>
        <v/>
      </c>
      <c r="J316" s="38">
        <f>H316+I316</f>
        <v/>
      </c>
      <c r="K316" s="38">
        <f>(E316-F316)-D316+IF(A316=Horizon,H316,0)</f>
        <v/>
      </c>
    </row>
    <row r="317" ht="16" customHeight="1">
      <c r="A317" s="37" t="n">
        <v>312</v>
      </c>
      <c r="B317" s="38">
        <f>C317+D317</f>
        <v/>
      </c>
      <c r="C317" s="38">
        <f>H316</f>
        <v/>
      </c>
      <c r="D317" s="38">
        <f>Monthly</f>
        <v/>
      </c>
      <c r="E317" s="38">
        <f>B317*Yield_m</f>
        <v/>
      </c>
      <c r="F317" s="38">
        <f>IF(Reinvest="Sim",E317,0)</f>
        <v/>
      </c>
      <c r="G317" s="38">
        <f>(B317+F317)*Growth_m</f>
        <v/>
      </c>
      <c r="H317" s="38">
        <f>B317+F317+G317</f>
        <v/>
      </c>
      <c r="I317" s="38">
        <f>I316+(E317-F317)</f>
        <v/>
      </c>
      <c r="J317" s="38">
        <f>H317+I317</f>
        <v/>
      </c>
      <c r="K317" s="38">
        <f>(E317-F317)-D317+IF(A317=Horizon,H317,0)</f>
        <v/>
      </c>
    </row>
    <row r="318" ht="16" customHeight="1">
      <c r="A318" s="37" t="n">
        <v>313</v>
      </c>
      <c r="B318" s="38">
        <f>C318+D318</f>
        <v/>
      </c>
      <c r="C318" s="38">
        <f>H317</f>
        <v/>
      </c>
      <c r="D318" s="38">
        <f>Monthly</f>
        <v/>
      </c>
      <c r="E318" s="38">
        <f>B318*Yield_m</f>
        <v/>
      </c>
      <c r="F318" s="38">
        <f>IF(Reinvest="Sim",E318,0)</f>
        <v/>
      </c>
      <c r="G318" s="38">
        <f>(B318+F318)*Growth_m</f>
        <v/>
      </c>
      <c r="H318" s="38">
        <f>B318+F318+G318</f>
        <v/>
      </c>
      <c r="I318" s="38">
        <f>I317+(E318-F318)</f>
        <v/>
      </c>
      <c r="J318" s="38">
        <f>H318+I318</f>
        <v/>
      </c>
      <c r="K318" s="38">
        <f>(E318-F318)-D318+IF(A318=Horizon,H318,0)</f>
        <v/>
      </c>
    </row>
    <row r="319" ht="16" customHeight="1">
      <c r="A319" s="37" t="n">
        <v>314</v>
      </c>
      <c r="B319" s="38">
        <f>C319+D319</f>
        <v/>
      </c>
      <c r="C319" s="38">
        <f>H318</f>
        <v/>
      </c>
      <c r="D319" s="38">
        <f>Monthly</f>
        <v/>
      </c>
      <c r="E319" s="38">
        <f>B319*Yield_m</f>
        <v/>
      </c>
      <c r="F319" s="38">
        <f>IF(Reinvest="Sim",E319,0)</f>
        <v/>
      </c>
      <c r="G319" s="38">
        <f>(B319+F319)*Growth_m</f>
        <v/>
      </c>
      <c r="H319" s="38">
        <f>B319+F319+G319</f>
        <v/>
      </c>
      <c r="I319" s="38">
        <f>I318+(E319-F319)</f>
        <v/>
      </c>
      <c r="J319" s="38">
        <f>H319+I319</f>
        <v/>
      </c>
      <c r="K319" s="38">
        <f>(E319-F319)-D319+IF(A319=Horizon,H319,0)</f>
        <v/>
      </c>
    </row>
    <row r="320" ht="16" customHeight="1">
      <c r="A320" s="37" t="n">
        <v>315</v>
      </c>
      <c r="B320" s="38">
        <f>C320+D320</f>
        <v/>
      </c>
      <c r="C320" s="38">
        <f>H319</f>
        <v/>
      </c>
      <c r="D320" s="38">
        <f>Monthly</f>
        <v/>
      </c>
      <c r="E320" s="38">
        <f>B320*Yield_m</f>
        <v/>
      </c>
      <c r="F320" s="38">
        <f>IF(Reinvest="Sim",E320,0)</f>
        <v/>
      </c>
      <c r="G320" s="38">
        <f>(B320+F320)*Growth_m</f>
        <v/>
      </c>
      <c r="H320" s="38">
        <f>B320+F320+G320</f>
        <v/>
      </c>
      <c r="I320" s="38">
        <f>I319+(E320-F320)</f>
        <v/>
      </c>
      <c r="J320" s="38">
        <f>H320+I320</f>
        <v/>
      </c>
      <c r="K320" s="38">
        <f>(E320-F320)-D320+IF(A320=Horizon,H320,0)</f>
        <v/>
      </c>
    </row>
    <row r="321" ht="16" customHeight="1">
      <c r="A321" s="37" t="n">
        <v>316</v>
      </c>
      <c r="B321" s="38">
        <f>C321+D321</f>
        <v/>
      </c>
      <c r="C321" s="38">
        <f>H320</f>
        <v/>
      </c>
      <c r="D321" s="38">
        <f>Monthly</f>
        <v/>
      </c>
      <c r="E321" s="38">
        <f>B321*Yield_m</f>
        <v/>
      </c>
      <c r="F321" s="38">
        <f>IF(Reinvest="Sim",E321,0)</f>
        <v/>
      </c>
      <c r="G321" s="38">
        <f>(B321+F321)*Growth_m</f>
        <v/>
      </c>
      <c r="H321" s="38">
        <f>B321+F321+G321</f>
        <v/>
      </c>
      <c r="I321" s="38">
        <f>I320+(E321-F321)</f>
        <v/>
      </c>
      <c r="J321" s="38">
        <f>H321+I321</f>
        <v/>
      </c>
      <c r="K321" s="38">
        <f>(E321-F321)-D321+IF(A321=Horizon,H321,0)</f>
        <v/>
      </c>
    </row>
    <row r="322" ht="16" customHeight="1">
      <c r="A322" s="37" t="n">
        <v>317</v>
      </c>
      <c r="B322" s="38">
        <f>C322+D322</f>
        <v/>
      </c>
      <c r="C322" s="38">
        <f>H321</f>
        <v/>
      </c>
      <c r="D322" s="38">
        <f>Monthly</f>
        <v/>
      </c>
      <c r="E322" s="38">
        <f>B322*Yield_m</f>
        <v/>
      </c>
      <c r="F322" s="38">
        <f>IF(Reinvest="Sim",E322,0)</f>
        <v/>
      </c>
      <c r="G322" s="38">
        <f>(B322+F322)*Growth_m</f>
        <v/>
      </c>
      <c r="H322" s="38">
        <f>B322+F322+G322</f>
        <v/>
      </c>
      <c r="I322" s="38">
        <f>I321+(E322-F322)</f>
        <v/>
      </c>
      <c r="J322" s="38">
        <f>H322+I322</f>
        <v/>
      </c>
      <c r="K322" s="38">
        <f>(E322-F322)-D322+IF(A322=Horizon,H322,0)</f>
        <v/>
      </c>
    </row>
    <row r="323" ht="16" customHeight="1">
      <c r="A323" s="37" t="n">
        <v>318</v>
      </c>
      <c r="B323" s="38">
        <f>C323+D323</f>
        <v/>
      </c>
      <c r="C323" s="38">
        <f>H322</f>
        <v/>
      </c>
      <c r="D323" s="38">
        <f>Monthly</f>
        <v/>
      </c>
      <c r="E323" s="38">
        <f>B323*Yield_m</f>
        <v/>
      </c>
      <c r="F323" s="38">
        <f>IF(Reinvest="Sim",E323,0)</f>
        <v/>
      </c>
      <c r="G323" s="38">
        <f>(B323+F323)*Growth_m</f>
        <v/>
      </c>
      <c r="H323" s="38">
        <f>B323+F323+G323</f>
        <v/>
      </c>
      <c r="I323" s="38">
        <f>I322+(E323-F323)</f>
        <v/>
      </c>
      <c r="J323" s="38">
        <f>H323+I323</f>
        <v/>
      </c>
      <c r="K323" s="38">
        <f>(E323-F323)-D323+IF(A323=Horizon,H323,0)</f>
        <v/>
      </c>
    </row>
    <row r="324" ht="16" customHeight="1">
      <c r="A324" s="37" t="n">
        <v>319</v>
      </c>
      <c r="B324" s="38">
        <f>C324+D324</f>
        <v/>
      </c>
      <c r="C324" s="38">
        <f>H323</f>
        <v/>
      </c>
      <c r="D324" s="38">
        <f>Monthly</f>
        <v/>
      </c>
      <c r="E324" s="38">
        <f>B324*Yield_m</f>
        <v/>
      </c>
      <c r="F324" s="38">
        <f>IF(Reinvest="Sim",E324,0)</f>
        <v/>
      </c>
      <c r="G324" s="38">
        <f>(B324+F324)*Growth_m</f>
        <v/>
      </c>
      <c r="H324" s="38">
        <f>B324+F324+G324</f>
        <v/>
      </c>
      <c r="I324" s="38">
        <f>I323+(E324-F324)</f>
        <v/>
      </c>
      <c r="J324" s="38">
        <f>H324+I324</f>
        <v/>
      </c>
      <c r="K324" s="38">
        <f>(E324-F324)-D324+IF(A324=Horizon,H324,0)</f>
        <v/>
      </c>
    </row>
    <row r="325" ht="16" customHeight="1">
      <c r="A325" s="37" t="n">
        <v>320</v>
      </c>
      <c r="B325" s="38">
        <f>C325+D325</f>
        <v/>
      </c>
      <c r="C325" s="38">
        <f>H324</f>
        <v/>
      </c>
      <c r="D325" s="38">
        <f>Monthly</f>
        <v/>
      </c>
      <c r="E325" s="38">
        <f>B325*Yield_m</f>
        <v/>
      </c>
      <c r="F325" s="38">
        <f>IF(Reinvest="Sim",E325,0)</f>
        <v/>
      </c>
      <c r="G325" s="38">
        <f>(B325+F325)*Growth_m</f>
        <v/>
      </c>
      <c r="H325" s="38">
        <f>B325+F325+G325</f>
        <v/>
      </c>
      <c r="I325" s="38">
        <f>I324+(E325-F325)</f>
        <v/>
      </c>
      <c r="J325" s="38">
        <f>H325+I325</f>
        <v/>
      </c>
      <c r="K325" s="38">
        <f>(E325-F325)-D325+IF(A325=Horizon,H325,0)</f>
        <v/>
      </c>
    </row>
    <row r="326" ht="16" customHeight="1">
      <c r="A326" s="37" t="n">
        <v>321</v>
      </c>
      <c r="B326" s="38">
        <f>C326+D326</f>
        <v/>
      </c>
      <c r="C326" s="38">
        <f>H325</f>
        <v/>
      </c>
      <c r="D326" s="38">
        <f>Monthly</f>
        <v/>
      </c>
      <c r="E326" s="38">
        <f>B326*Yield_m</f>
        <v/>
      </c>
      <c r="F326" s="38">
        <f>IF(Reinvest="Sim",E326,0)</f>
        <v/>
      </c>
      <c r="G326" s="38">
        <f>(B326+F326)*Growth_m</f>
        <v/>
      </c>
      <c r="H326" s="38">
        <f>B326+F326+G326</f>
        <v/>
      </c>
      <c r="I326" s="38">
        <f>I325+(E326-F326)</f>
        <v/>
      </c>
      <c r="J326" s="38">
        <f>H326+I326</f>
        <v/>
      </c>
      <c r="K326" s="38">
        <f>(E326-F326)-D326+IF(A326=Horizon,H326,0)</f>
        <v/>
      </c>
    </row>
    <row r="327" ht="16" customHeight="1">
      <c r="A327" s="37" t="n">
        <v>322</v>
      </c>
      <c r="B327" s="38">
        <f>C327+D327</f>
        <v/>
      </c>
      <c r="C327" s="38">
        <f>H326</f>
        <v/>
      </c>
      <c r="D327" s="38">
        <f>Monthly</f>
        <v/>
      </c>
      <c r="E327" s="38">
        <f>B327*Yield_m</f>
        <v/>
      </c>
      <c r="F327" s="38">
        <f>IF(Reinvest="Sim",E327,0)</f>
        <v/>
      </c>
      <c r="G327" s="38">
        <f>(B327+F327)*Growth_m</f>
        <v/>
      </c>
      <c r="H327" s="38">
        <f>B327+F327+G327</f>
        <v/>
      </c>
      <c r="I327" s="38">
        <f>I326+(E327-F327)</f>
        <v/>
      </c>
      <c r="J327" s="38">
        <f>H327+I327</f>
        <v/>
      </c>
      <c r="K327" s="38">
        <f>(E327-F327)-D327+IF(A327=Horizon,H327,0)</f>
        <v/>
      </c>
    </row>
    <row r="328" ht="16" customHeight="1">
      <c r="A328" s="37" t="n">
        <v>323</v>
      </c>
      <c r="B328" s="38">
        <f>C328+D328</f>
        <v/>
      </c>
      <c r="C328" s="38">
        <f>H327</f>
        <v/>
      </c>
      <c r="D328" s="38">
        <f>Monthly</f>
        <v/>
      </c>
      <c r="E328" s="38">
        <f>B328*Yield_m</f>
        <v/>
      </c>
      <c r="F328" s="38">
        <f>IF(Reinvest="Sim",E328,0)</f>
        <v/>
      </c>
      <c r="G328" s="38">
        <f>(B328+F328)*Growth_m</f>
        <v/>
      </c>
      <c r="H328" s="38">
        <f>B328+F328+G328</f>
        <v/>
      </c>
      <c r="I328" s="38">
        <f>I327+(E328-F328)</f>
        <v/>
      </c>
      <c r="J328" s="38">
        <f>H328+I328</f>
        <v/>
      </c>
      <c r="K328" s="38">
        <f>(E328-F328)-D328+IF(A328=Horizon,H328,0)</f>
        <v/>
      </c>
    </row>
    <row r="329" ht="16" customHeight="1">
      <c r="A329" s="37" t="n">
        <v>324</v>
      </c>
      <c r="B329" s="38">
        <f>C329+D329</f>
        <v/>
      </c>
      <c r="C329" s="38">
        <f>H328</f>
        <v/>
      </c>
      <c r="D329" s="38">
        <f>Monthly</f>
        <v/>
      </c>
      <c r="E329" s="38">
        <f>B329*Yield_m</f>
        <v/>
      </c>
      <c r="F329" s="38">
        <f>IF(Reinvest="Sim",E329,0)</f>
        <v/>
      </c>
      <c r="G329" s="38">
        <f>(B329+F329)*Growth_m</f>
        <v/>
      </c>
      <c r="H329" s="38">
        <f>B329+F329+G329</f>
        <v/>
      </c>
      <c r="I329" s="38">
        <f>I328+(E329-F329)</f>
        <v/>
      </c>
      <c r="J329" s="38">
        <f>H329+I329</f>
        <v/>
      </c>
      <c r="K329" s="38">
        <f>(E329-F329)-D329+IF(A329=Horizon,H329,0)</f>
        <v/>
      </c>
    </row>
    <row r="330" ht="16" customHeight="1">
      <c r="A330" s="37" t="n">
        <v>325</v>
      </c>
      <c r="B330" s="38">
        <f>C330+D330</f>
        <v/>
      </c>
      <c r="C330" s="38">
        <f>H329</f>
        <v/>
      </c>
      <c r="D330" s="38">
        <f>Monthly</f>
        <v/>
      </c>
      <c r="E330" s="38">
        <f>B330*Yield_m</f>
        <v/>
      </c>
      <c r="F330" s="38">
        <f>IF(Reinvest="Sim",E330,0)</f>
        <v/>
      </c>
      <c r="G330" s="38">
        <f>(B330+F330)*Growth_m</f>
        <v/>
      </c>
      <c r="H330" s="38">
        <f>B330+F330+G330</f>
        <v/>
      </c>
      <c r="I330" s="38">
        <f>I329+(E330-F330)</f>
        <v/>
      </c>
      <c r="J330" s="38">
        <f>H330+I330</f>
        <v/>
      </c>
      <c r="K330" s="38">
        <f>(E330-F330)-D330+IF(A330=Horizon,H330,0)</f>
        <v/>
      </c>
    </row>
    <row r="331" ht="16" customHeight="1">
      <c r="A331" s="37" t="n">
        <v>326</v>
      </c>
      <c r="B331" s="38">
        <f>C331+D331</f>
        <v/>
      </c>
      <c r="C331" s="38">
        <f>H330</f>
        <v/>
      </c>
      <c r="D331" s="38">
        <f>Monthly</f>
        <v/>
      </c>
      <c r="E331" s="38">
        <f>B331*Yield_m</f>
        <v/>
      </c>
      <c r="F331" s="38">
        <f>IF(Reinvest="Sim",E331,0)</f>
        <v/>
      </c>
      <c r="G331" s="38">
        <f>(B331+F331)*Growth_m</f>
        <v/>
      </c>
      <c r="H331" s="38">
        <f>B331+F331+G331</f>
        <v/>
      </c>
      <c r="I331" s="38">
        <f>I330+(E331-F331)</f>
        <v/>
      </c>
      <c r="J331" s="38">
        <f>H331+I331</f>
        <v/>
      </c>
      <c r="K331" s="38">
        <f>(E331-F331)-D331+IF(A331=Horizon,H331,0)</f>
        <v/>
      </c>
    </row>
    <row r="332" ht="16" customHeight="1">
      <c r="A332" s="37" t="n">
        <v>327</v>
      </c>
      <c r="B332" s="38">
        <f>C332+D332</f>
        <v/>
      </c>
      <c r="C332" s="38">
        <f>H331</f>
        <v/>
      </c>
      <c r="D332" s="38">
        <f>Monthly</f>
        <v/>
      </c>
      <c r="E332" s="38">
        <f>B332*Yield_m</f>
        <v/>
      </c>
      <c r="F332" s="38">
        <f>IF(Reinvest="Sim",E332,0)</f>
        <v/>
      </c>
      <c r="G332" s="38">
        <f>(B332+F332)*Growth_m</f>
        <v/>
      </c>
      <c r="H332" s="38">
        <f>B332+F332+G332</f>
        <v/>
      </c>
      <c r="I332" s="38">
        <f>I331+(E332-F332)</f>
        <v/>
      </c>
      <c r="J332" s="38">
        <f>H332+I332</f>
        <v/>
      </c>
      <c r="K332" s="38">
        <f>(E332-F332)-D332+IF(A332=Horizon,H332,0)</f>
        <v/>
      </c>
    </row>
    <row r="333" ht="16" customHeight="1">
      <c r="A333" s="37" t="n">
        <v>328</v>
      </c>
      <c r="B333" s="38">
        <f>C333+D333</f>
        <v/>
      </c>
      <c r="C333" s="38">
        <f>H332</f>
        <v/>
      </c>
      <c r="D333" s="38">
        <f>Monthly</f>
        <v/>
      </c>
      <c r="E333" s="38">
        <f>B333*Yield_m</f>
        <v/>
      </c>
      <c r="F333" s="38">
        <f>IF(Reinvest="Sim",E333,0)</f>
        <v/>
      </c>
      <c r="G333" s="38">
        <f>(B333+F333)*Growth_m</f>
        <v/>
      </c>
      <c r="H333" s="38">
        <f>B333+F333+G333</f>
        <v/>
      </c>
      <c r="I333" s="38">
        <f>I332+(E333-F333)</f>
        <v/>
      </c>
      <c r="J333" s="38">
        <f>H333+I333</f>
        <v/>
      </c>
      <c r="K333" s="38">
        <f>(E333-F333)-D333+IF(A333=Horizon,H333,0)</f>
        <v/>
      </c>
    </row>
    <row r="334" ht="16" customHeight="1">
      <c r="A334" s="37" t="n">
        <v>329</v>
      </c>
      <c r="B334" s="38">
        <f>C334+D334</f>
        <v/>
      </c>
      <c r="C334" s="38">
        <f>H333</f>
        <v/>
      </c>
      <c r="D334" s="38">
        <f>Monthly</f>
        <v/>
      </c>
      <c r="E334" s="38">
        <f>B334*Yield_m</f>
        <v/>
      </c>
      <c r="F334" s="38">
        <f>IF(Reinvest="Sim",E334,0)</f>
        <v/>
      </c>
      <c r="G334" s="38">
        <f>(B334+F334)*Growth_m</f>
        <v/>
      </c>
      <c r="H334" s="38">
        <f>B334+F334+G334</f>
        <v/>
      </c>
      <c r="I334" s="38">
        <f>I333+(E334-F334)</f>
        <v/>
      </c>
      <c r="J334" s="38">
        <f>H334+I334</f>
        <v/>
      </c>
      <c r="K334" s="38">
        <f>(E334-F334)-D334+IF(A334=Horizon,H334,0)</f>
        <v/>
      </c>
    </row>
    <row r="335" ht="16" customHeight="1">
      <c r="A335" s="37" t="n">
        <v>330</v>
      </c>
      <c r="B335" s="38">
        <f>C335+D335</f>
        <v/>
      </c>
      <c r="C335" s="38">
        <f>H334</f>
        <v/>
      </c>
      <c r="D335" s="38">
        <f>Monthly</f>
        <v/>
      </c>
      <c r="E335" s="38">
        <f>B335*Yield_m</f>
        <v/>
      </c>
      <c r="F335" s="38">
        <f>IF(Reinvest="Sim",E335,0)</f>
        <v/>
      </c>
      <c r="G335" s="38">
        <f>(B335+F335)*Growth_m</f>
        <v/>
      </c>
      <c r="H335" s="38">
        <f>B335+F335+G335</f>
        <v/>
      </c>
      <c r="I335" s="38">
        <f>I334+(E335-F335)</f>
        <v/>
      </c>
      <c r="J335" s="38">
        <f>H335+I335</f>
        <v/>
      </c>
      <c r="K335" s="38">
        <f>(E335-F335)-D335+IF(A335=Horizon,H335,0)</f>
        <v/>
      </c>
    </row>
    <row r="336" ht="16" customHeight="1">
      <c r="A336" s="37" t="n">
        <v>331</v>
      </c>
      <c r="B336" s="38">
        <f>C336+D336</f>
        <v/>
      </c>
      <c r="C336" s="38">
        <f>H335</f>
        <v/>
      </c>
      <c r="D336" s="38">
        <f>Monthly</f>
        <v/>
      </c>
      <c r="E336" s="38">
        <f>B336*Yield_m</f>
        <v/>
      </c>
      <c r="F336" s="38">
        <f>IF(Reinvest="Sim",E336,0)</f>
        <v/>
      </c>
      <c r="G336" s="38">
        <f>(B336+F336)*Growth_m</f>
        <v/>
      </c>
      <c r="H336" s="38">
        <f>B336+F336+G336</f>
        <v/>
      </c>
      <c r="I336" s="38">
        <f>I335+(E336-F336)</f>
        <v/>
      </c>
      <c r="J336" s="38">
        <f>H336+I336</f>
        <v/>
      </c>
      <c r="K336" s="38">
        <f>(E336-F336)-D336+IF(A336=Horizon,H336,0)</f>
        <v/>
      </c>
    </row>
    <row r="337" ht="16" customHeight="1">
      <c r="A337" s="37" t="n">
        <v>332</v>
      </c>
      <c r="B337" s="38">
        <f>C337+D337</f>
        <v/>
      </c>
      <c r="C337" s="38">
        <f>H336</f>
        <v/>
      </c>
      <c r="D337" s="38">
        <f>Monthly</f>
        <v/>
      </c>
      <c r="E337" s="38">
        <f>B337*Yield_m</f>
        <v/>
      </c>
      <c r="F337" s="38">
        <f>IF(Reinvest="Sim",E337,0)</f>
        <v/>
      </c>
      <c r="G337" s="38">
        <f>(B337+F337)*Growth_m</f>
        <v/>
      </c>
      <c r="H337" s="38">
        <f>B337+F337+G337</f>
        <v/>
      </c>
      <c r="I337" s="38">
        <f>I336+(E337-F337)</f>
        <v/>
      </c>
      <c r="J337" s="38">
        <f>H337+I337</f>
        <v/>
      </c>
      <c r="K337" s="38">
        <f>(E337-F337)-D337+IF(A337=Horizon,H337,0)</f>
        <v/>
      </c>
    </row>
    <row r="338" ht="16" customHeight="1">
      <c r="A338" s="37" t="n">
        <v>333</v>
      </c>
      <c r="B338" s="38">
        <f>C338+D338</f>
        <v/>
      </c>
      <c r="C338" s="38">
        <f>H337</f>
        <v/>
      </c>
      <c r="D338" s="38">
        <f>Monthly</f>
        <v/>
      </c>
      <c r="E338" s="38">
        <f>B338*Yield_m</f>
        <v/>
      </c>
      <c r="F338" s="38">
        <f>IF(Reinvest="Sim",E338,0)</f>
        <v/>
      </c>
      <c r="G338" s="38">
        <f>(B338+F338)*Growth_m</f>
        <v/>
      </c>
      <c r="H338" s="38">
        <f>B338+F338+G338</f>
        <v/>
      </c>
      <c r="I338" s="38">
        <f>I337+(E338-F338)</f>
        <v/>
      </c>
      <c r="J338" s="38">
        <f>H338+I338</f>
        <v/>
      </c>
      <c r="K338" s="38">
        <f>(E338-F338)-D338+IF(A338=Horizon,H338,0)</f>
        <v/>
      </c>
    </row>
    <row r="339" ht="16" customHeight="1">
      <c r="A339" s="37" t="n">
        <v>334</v>
      </c>
      <c r="B339" s="38">
        <f>C339+D339</f>
        <v/>
      </c>
      <c r="C339" s="38">
        <f>H338</f>
        <v/>
      </c>
      <c r="D339" s="38">
        <f>Monthly</f>
        <v/>
      </c>
      <c r="E339" s="38">
        <f>B339*Yield_m</f>
        <v/>
      </c>
      <c r="F339" s="38">
        <f>IF(Reinvest="Sim",E339,0)</f>
        <v/>
      </c>
      <c r="G339" s="38">
        <f>(B339+F339)*Growth_m</f>
        <v/>
      </c>
      <c r="H339" s="38">
        <f>B339+F339+G339</f>
        <v/>
      </c>
      <c r="I339" s="38">
        <f>I338+(E339-F339)</f>
        <v/>
      </c>
      <c r="J339" s="38">
        <f>H339+I339</f>
        <v/>
      </c>
      <c r="K339" s="38">
        <f>(E339-F339)-D339+IF(A339=Horizon,H339,0)</f>
        <v/>
      </c>
    </row>
    <row r="340" ht="16" customHeight="1">
      <c r="A340" s="37" t="n">
        <v>335</v>
      </c>
      <c r="B340" s="38">
        <f>C340+D340</f>
        <v/>
      </c>
      <c r="C340" s="38">
        <f>H339</f>
        <v/>
      </c>
      <c r="D340" s="38">
        <f>Monthly</f>
        <v/>
      </c>
      <c r="E340" s="38">
        <f>B340*Yield_m</f>
        <v/>
      </c>
      <c r="F340" s="38">
        <f>IF(Reinvest="Sim",E340,0)</f>
        <v/>
      </c>
      <c r="G340" s="38">
        <f>(B340+F340)*Growth_m</f>
        <v/>
      </c>
      <c r="H340" s="38">
        <f>B340+F340+G340</f>
        <v/>
      </c>
      <c r="I340" s="38">
        <f>I339+(E340-F340)</f>
        <v/>
      </c>
      <c r="J340" s="38">
        <f>H340+I340</f>
        <v/>
      </c>
      <c r="K340" s="38">
        <f>(E340-F340)-D340+IF(A340=Horizon,H340,0)</f>
        <v/>
      </c>
    </row>
    <row r="341" ht="16" customHeight="1">
      <c r="A341" s="37" t="n">
        <v>336</v>
      </c>
      <c r="B341" s="38">
        <f>C341+D341</f>
        <v/>
      </c>
      <c r="C341" s="38">
        <f>H340</f>
        <v/>
      </c>
      <c r="D341" s="38">
        <f>Monthly</f>
        <v/>
      </c>
      <c r="E341" s="38">
        <f>B341*Yield_m</f>
        <v/>
      </c>
      <c r="F341" s="38">
        <f>IF(Reinvest="Sim",E341,0)</f>
        <v/>
      </c>
      <c r="G341" s="38">
        <f>(B341+F341)*Growth_m</f>
        <v/>
      </c>
      <c r="H341" s="38">
        <f>B341+F341+G341</f>
        <v/>
      </c>
      <c r="I341" s="38">
        <f>I340+(E341-F341)</f>
        <v/>
      </c>
      <c r="J341" s="38">
        <f>H341+I341</f>
        <v/>
      </c>
      <c r="K341" s="38">
        <f>(E341-F341)-D341+IF(A341=Horizon,H341,0)</f>
        <v/>
      </c>
    </row>
    <row r="342" ht="16" customHeight="1">
      <c r="A342" s="37" t="n">
        <v>337</v>
      </c>
      <c r="B342" s="38">
        <f>C342+D342</f>
        <v/>
      </c>
      <c r="C342" s="38">
        <f>H341</f>
        <v/>
      </c>
      <c r="D342" s="38">
        <f>Monthly</f>
        <v/>
      </c>
      <c r="E342" s="38">
        <f>B342*Yield_m</f>
        <v/>
      </c>
      <c r="F342" s="38">
        <f>IF(Reinvest="Sim",E342,0)</f>
        <v/>
      </c>
      <c r="G342" s="38">
        <f>(B342+F342)*Growth_m</f>
        <v/>
      </c>
      <c r="H342" s="38">
        <f>B342+F342+G342</f>
        <v/>
      </c>
      <c r="I342" s="38">
        <f>I341+(E342-F342)</f>
        <v/>
      </c>
      <c r="J342" s="38">
        <f>H342+I342</f>
        <v/>
      </c>
      <c r="K342" s="38">
        <f>(E342-F342)-D342+IF(A342=Horizon,H342,0)</f>
        <v/>
      </c>
    </row>
    <row r="343" ht="16" customHeight="1">
      <c r="A343" s="37" t="n">
        <v>338</v>
      </c>
      <c r="B343" s="38">
        <f>C343+D343</f>
        <v/>
      </c>
      <c r="C343" s="38">
        <f>H342</f>
        <v/>
      </c>
      <c r="D343" s="38">
        <f>Monthly</f>
        <v/>
      </c>
      <c r="E343" s="38">
        <f>B343*Yield_m</f>
        <v/>
      </c>
      <c r="F343" s="38">
        <f>IF(Reinvest="Sim",E343,0)</f>
        <v/>
      </c>
      <c r="G343" s="38">
        <f>(B343+F343)*Growth_m</f>
        <v/>
      </c>
      <c r="H343" s="38">
        <f>B343+F343+G343</f>
        <v/>
      </c>
      <c r="I343" s="38">
        <f>I342+(E343-F343)</f>
        <v/>
      </c>
      <c r="J343" s="38">
        <f>H343+I343</f>
        <v/>
      </c>
      <c r="K343" s="38">
        <f>(E343-F343)-D343+IF(A343=Horizon,H343,0)</f>
        <v/>
      </c>
    </row>
    <row r="344" ht="16" customHeight="1">
      <c r="A344" s="37" t="n">
        <v>339</v>
      </c>
      <c r="B344" s="38">
        <f>C344+D344</f>
        <v/>
      </c>
      <c r="C344" s="38">
        <f>H343</f>
        <v/>
      </c>
      <c r="D344" s="38">
        <f>Monthly</f>
        <v/>
      </c>
      <c r="E344" s="38">
        <f>B344*Yield_m</f>
        <v/>
      </c>
      <c r="F344" s="38">
        <f>IF(Reinvest="Sim",E344,0)</f>
        <v/>
      </c>
      <c r="G344" s="38">
        <f>(B344+F344)*Growth_m</f>
        <v/>
      </c>
      <c r="H344" s="38">
        <f>B344+F344+G344</f>
        <v/>
      </c>
      <c r="I344" s="38">
        <f>I343+(E344-F344)</f>
        <v/>
      </c>
      <c r="J344" s="38">
        <f>H344+I344</f>
        <v/>
      </c>
      <c r="K344" s="38">
        <f>(E344-F344)-D344+IF(A344=Horizon,H344,0)</f>
        <v/>
      </c>
    </row>
    <row r="345" ht="16" customHeight="1">
      <c r="A345" s="37" t="n">
        <v>340</v>
      </c>
      <c r="B345" s="38">
        <f>C345+D345</f>
        <v/>
      </c>
      <c r="C345" s="38">
        <f>H344</f>
        <v/>
      </c>
      <c r="D345" s="38">
        <f>Monthly</f>
        <v/>
      </c>
      <c r="E345" s="38">
        <f>B345*Yield_m</f>
        <v/>
      </c>
      <c r="F345" s="38">
        <f>IF(Reinvest="Sim",E345,0)</f>
        <v/>
      </c>
      <c r="G345" s="38">
        <f>(B345+F345)*Growth_m</f>
        <v/>
      </c>
      <c r="H345" s="38">
        <f>B345+F345+G345</f>
        <v/>
      </c>
      <c r="I345" s="38">
        <f>I344+(E345-F345)</f>
        <v/>
      </c>
      <c r="J345" s="38">
        <f>H345+I345</f>
        <v/>
      </c>
      <c r="K345" s="38">
        <f>(E345-F345)-D345+IF(A345=Horizon,H345,0)</f>
        <v/>
      </c>
    </row>
    <row r="346" ht="16" customHeight="1">
      <c r="A346" s="37" t="n">
        <v>341</v>
      </c>
      <c r="B346" s="38">
        <f>C346+D346</f>
        <v/>
      </c>
      <c r="C346" s="38">
        <f>H345</f>
        <v/>
      </c>
      <c r="D346" s="38">
        <f>Monthly</f>
        <v/>
      </c>
      <c r="E346" s="38">
        <f>B346*Yield_m</f>
        <v/>
      </c>
      <c r="F346" s="38">
        <f>IF(Reinvest="Sim",E346,0)</f>
        <v/>
      </c>
      <c r="G346" s="38">
        <f>(B346+F346)*Growth_m</f>
        <v/>
      </c>
      <c r="H346" s="38">
        <f>B346+F346+G346</f>
        <v/>
      </c>
      <c r="I346" s="38">
        <f>I345+(E346-F346)</f>
        <v/>
      </c>
      <c r="J346" s="38">
        <f>H346+I346</f>
        <v/>
      </c>
      <c r="K346" s="38">
        <f>(E346-F346)-D346+IF(A346=Horizon,H346,0)</f>
        <v/>
      </c>
    </row>
    <row r="347" ht="16" customHeight="1">
      <c r="A347" s="37" t="n">
        <v>342</v>
      </c>
      <c r="B347" s="38">
        <f>C347+D347</f>
        <v/>
      </c>
      <c r="C347" s="38">
        <f>H346</f>
        <v/>
      </c>
      <c r="D347" s="38">
        <f>Monthly</f>
        <v/>
      </c>
      <c r="E347" s="38">
        <f>B347*Yield_m</f>
        <v/>
      </c>
      <c r="F347" s="38">
        <f>IF(Reinvest="Sim",E347,0)</f>
        <v/>
      </c>
      <c r="G347" s="38">
        <f>(B347+F347)*Growth_m</f>
        <v/>
      </c>
      <c r="H347" s="38">
        <f>B347+F347+G347</f>
        <v/>
      </c>
      <c r="I347" s="38">
        <f>I346+(E347-F347)</f>
        <v/>
      </c>
      <c r="J347" s="38">
        <f>H347+I347</f>
        <v/>
      </c>
      <c r="K347" s="38">
        <f>(E347-F347)-D347+IF(A347=Horizon,H347,0)</f>
        <v/>
      </c>
    </row>
    <row r="348" ht="16" customHeight="1">
      <c r="A348" s="37" t="n">
        <v>343</v>
      </c>
      <c r="B348" s="38">
        <f>C348+D348</f>
        <v/>
      </c>
      <c r="C348" s="38">
        <f>H347</f>
        <v/>
      </c>
      <c r="D348" s="38">
        <f>Monthly</f>
        <v/>
      </c>
      <c r="E348" s="38">
        <f>B348*Yield_m</f>
        <v/>
      </c>
      <c r="F348" s="38">
        <f>IF(Reinvest="Sim",E348,0)</f>
        <v/>
      </c>
      <c r="G348" s="38">
        <f>(B348+F348)*Growth_m</f>
        <v/>
      </c>
      <c r="H348" s="38">
        <f>B348+F348+G348</f>
        <v/>
      </c>
      <c r="I348" s="38">
        <f>I347+(E348-F348)</f>
        <v/>
      </c>
      <c r="J348" s="38">
        <f>H348+I348</f>
        <v/>
      </c>
      <c r="K348" s="38">
        <f>(E348-F348)-D348+IF(A348=Horizon,H348,0)</f>
        <v/>
      </c>
    </row>
    <row r="349" ht="16" customHeight="1">
      <c r="A349" s="37" t="n">
        <v>344</v>
      </c>
      <c r="B349" s="38">
        <f>C349+D349</f>
        <v/>
      </c>
      <c r="C349" s="38">
        <f>H348</f>
        <v/>
      </c>
      <c r="D349" s="38">
        <f>Monthly</f>
        <v/>
      </c>
      <c r="E349" s="38">
        <f>B349*Yield_m</f>
        <v/>
      </c>
      <c r="F349" s="38">
        <f>IF(Reinvest="Sim",E349,0)</f>
        <v/>
      </c>
      <c r="G349" s="38">
        <f>(B349+F349)*Growth_m</f>
        <v/>
      </c>
      <c r="H349" s="38">
        <f>B349+F349+G349</f>
        <v/>
      </c>
      <c r="I349" s="38">
        <f>I348+(E349-F349)</f>
        <v/>
      </c>
      <c r="J349" s="38">
        <f>H349+I349</f>
        <v/>
      </c>
      <c r="K349" s="38">
        <f>(E349-F349)-D349+IF(A349=Horizon,H349,0)</f>
        <v/>
      </c>
    </row>
    <row r="350" ht="16" customHeight="1">
      <c r="A350" s="37" t="n">
        <v>345</v>
      </c>
      <c r="B350" s="38">
        <f>C350+D350</f>
        <v/>
      </c>
      <c r="C350" s="38">
        <f>H349</f>
        <v/>
      </c>
      <c r="D350" s="38">
        <f>Monthly</f>
        <v/>
      </c>
      <c r="E350" s="38">
        <f>B350*Yield_m</f>
        <v/>
      </c>
      <c r="F350" s="38">
        <f>IF(Reinvest="Sim",E350,0)</f>
        <v/>
      </c>
      <c r="G350" s="38">
        <f>(B350+F350)*Growth_m</f>
        <v/>
      </c>
      <c r="H350" s="38">
        <f>B350+F350+G350</f>
        <v/>
      </c>
      <c r="I350" s="38">
        <f>I349+(E350-F350)</f>
        <v/>
      </c>
      <c r="J350" s="38">
        <f>H350+I350</f>
        <v/>
      </c>
      <c r="K350" s="38">
        <f>(E350-F350)-D350+IF(A350=Horizon,H350,0)</f>
        <v/>
      </c>
    </row>
    <row r="351" ht="16" customHeight="1">
      <c r="A351" s="37" t="n">
        <v>346</v>
      </c>
      <c r="B351" s="38">
        <f>C351+D351</f>
        <v/>
      </c>
      <c r="C351" s="38">
        <f>H350</f>
        <v/>
      </c>
      <c r="D351" s="38">
        <f>Monthly</f>
        <v/>
      </c>
      <c r="E351" s="38">
        <f>B351*Yield_m</f>
        <v/>
      </c>
      <c r="F351" s="38">
        <f>IF(Reinvest="Sim",E351,0)</f>
        <v/>
      </c>
      <c r="G351" s="38">
        <f>(B351+F351)*Growth_m</f>
        <v/>
      </c>
      <c r="H351" s="38">
        <f>B351+F351+G351</f>
        <v/>
      </c>
      <c r="I351" s="38">
        <f>I350+(E351-F351)</f>
        <v/>
      </c>
      <c r="J351" s="38">
        <f>H351+I351</f>
        <v/>
      </c>
      <c r="K351" s="38">
        <f>(E351-F351)-D351+IF(A351=Horizon,H351,0)</f>
        <v/>
      </c>
    </row>
    <row r="352" ht="16" customHeight="1">
      <c r="A352" s="37" t="n">
        <v>347</v>
      </c>
      <c r="B352" s="38">
        <f>C352+D352</f>
        <v/>
      </c>
      <c r="C352" s="38">
        <f>H351</f>
        <v/>
      </c>
      <c r="D352" s="38">
        <f>Monthly</f>
        <v/>
      </c>
      <c r="E352" s="38">
        <f>B352*Yield_m</f>
        <v/>
      </c>
      <c r="F352" s="38">
        <f>IF(Reinvest="Sim",E352,0)</f>
        <v/>
      </c>
      <c r="G352" s="38">
        <f>(B352+F352)*Growth_m</f>
        <v/>
      </c>
      <c r="H352" s="38">
        <f>B352+F352+G352</f>
        <v/>
      </c>
      <c r="I352" s="38">
        <f>I351+(E352-F352)</f>
        <v/>
      </c>
      <c r="J352" s="38">
        <f>H352+I352</f>
        <v/>
      </c>
      <c r="K352" s="38">
        <f>(E352-F352)-D352+IF(A352=Horizon,H352,0)</f>
        <v/>
      </c>
    </row>
    <row r="353" ht="16" customHeight="1">
      <c r="A353" s="37" t="n">
        <v>348</v>
      </c>
      <c r="B353" s="38">
        <f>C353+D353</f>
        <v/>
      </c>
      <c r="C353" s="38">
        <f>H352</f>
        <v/>
      </c>
      <c r="D353" s="38">
        <f>Monthly</f>
        <v/>
      </c>
      <c r="E353" s="38">
        <f>B353*Yield_m</f>
        <v/>
      </c>
      <c r="F353" s="38">
        <f>IF(Reinvest="Sim",E353,0)</f>
        <v/>
      </c>
      <c r="G353" s="38">
        <f>(B353+F353)*Growth_m</f>
        <v/>
      </c>
      <c r="H353" s="38">
        <f>B353+F353+G353</f>
        <v/>
      </c>
      <c r="I353" s="38">
        <f>I352+(E353-F353)</f>
        <v/>
      </c>
      <c r="J353" s="38">
        <f>H353+I353</f>
        <v/>
      </c>
      <c r="K353" s="38">
        <f>(E353-F353)-D353+IF(A353=Horizon,H353,0)</f>
        <v/>
      </c>
    </row>
    <row r="354" ht="16" customHeight="1">
      <c r="A354" s="37" t="n">
        <v>349</v>
      </c>
      <c r="B354" s="38">
        <f>C354+D354</f>
        <v/>
      </c>
      <c r="C354" s="38">
        <f>H353</f>
        <v/>
      </c>
      <c r="D354" s="38">
        <f>Monthly</f>
        <v/>
      </c>
      <c r="E354" s="38">
        <f>B354*Yield_m</f>
        <v/>
      </c>
      <c r="F354" s="38">
        <f>IF(Reinvest="Sim",E354,0)</f>
        <v/>
      </c>
      <c r="G354" s="38">
        <f>(B354+F354)*Growth_m</f>
        <v/>
      </c>
      <c r="H354" s="38">
        <f>B354+F354+G354</f>
        <v/>
      </c>
      <c r="I354" s="38">
        <f>I353+(E354-F354)</f>
        <v/>
      </c>
      <c r="J354" s="38">
        <f>H354+I354</f>
        <v/>
      </c>
      <c r="K354" s="38">
        <f>(E354-F354)-D354+IF(A354=Horizon,H354,0)</f>
        <v/>
      </c>
    </row>
    <row r="355" ht="16" customHeight="1">
      <c r="A355" s="37" t="n">
        <v>350</v>
      </c>
      <c r="B355" s="38">
        <f>C355+D355</f>
        <v/>
      </c>
      <c r="C355" s="38">
        <f>H354</f>
        <v/>
      </c>
      <c r="D355" s="38">
        <f>Monthly</f>
        <v/>
      </c>
      <c r="E355" s="38">
        <f>B355*Yield_m</f>
        <v/>
      </c>
      <c r="F355" s="38">
        <f>IF(Reinvest="Sim",E355,0)</f>
        <v/>
      </c>
      <c r="G355" s="38">
        <f>(B355+F355)*Growth_m</f>
        <v/>
      </c>
      <c r="H355" s="38">
        <f>B355+F355+G355</f>
        <v/>
      </c>
      <c r="I355" s="38">
        <f>I354+(E355-F355)</f>
        <v/>
      </c>
      <c r="J355" s="38">
        <f>H355+I355</f>
        <v/>
      </c>
      <c r="K355" s="38">
        <f>(E355-F355)-D355+IF(A355=Horizon,H355,0)</f>
        <v/>
      </c>
    </row>
    <row r="356" ht="16" customHeight="1">
      <c r="A356" s="37" t="n">
        <v>351</v>
      </c>
      <c r="B356" s="38">
        <f>C356+D356</f>
        <v/>
      </c>
      <c r="C356" s="38">
        <f>H355</f>
        <v/>
      </c>
      <c r="D356" s="38">
        <f>Monthly</f>
        <v/>
      </c>
      <c r="E356" s="38">
        <f>B356*Yield_m</f>
        <v/>
      </c>
      <c r="F356" s="38">
        <f>IF(Reinvest="Sim",E356,0)</f>
        <v/>
      </c>
      <c r="G356" s="38">
        <f>(B356+F356)*Growth_m</f>
        <v/>
      </c>
      <c r="H356" s="38">
        <f>B356+F356+G356</f>
        <v/>
      </c>
      <c r="I356" s="38">
        <f>I355+(E356-F356)</f>
        <v/>
      </c>
      <c r="J356" s="38">
        <f>H356+I356</f>
        <v/>
      </c>
      <c r="K356" s="38">
        <f>(E356-F356)-D356+IF(A356=Horizon,H356,0)</f>
        <v/>
      </c>
    </row>
    <row r="357" ht="16" customHeight="1">
      <c r="A357" s="37" t="n">
        <v>352</v>
      </c>
      <c r="B357" s="38">
        <f>C357+D357</f>
        <v/>
      </c>
      <c r="C357" s="38">
        <f>H356</f>
        <v/>
      </c>
      <c r="D357" s="38">
        <f>Monthly</f>
        <v/>
      </c>
      <c r="E357" s="38">
        <f>B357*Yield_m</f>
        <v/>
      </c>
      <c r="F357" s="38">
        <f>IF(Reinvest="Sim",E357,0)</f>
        <v/>
      </c>
      <c r="G357" s="38">
        <f>(B357+F357)*Growth_m</f>
        <v/>
      </c>
      <c r="H357" s="38">
        <f>B357+F357+G357</f>
        <v/>
      </c>
      <c r="I357" s="38">
        <f>I356+(E357-F357)</f>
        <v/>
      </c>
      <c r="J357" s="38">
        <f>H357+I357</f>
        <v/>
      </c>
      <c r="K357" s="38">
        <f>(E357-F357)-D357+IF(A357=Horizon,H357,0)</f>
        <v/>
      </c>
    </row>
    <row r="358" ht="16" customHeight="1">
      <c r="A358" s="37" t="n">
        <v>353</v>
      </c>
      <c r="B358" s="38">
        <f>C358+D358</f>
        <v/>
      </c>
      <c r="C358" s="38">
        <f>H357</f>
        <v/>
      </c>
      <c r="D358" s="38">
        <f>Monthly</f>
        <v/>
      </c>
      <c r="E358" s="38">
        <f>B358*Yield_m</f>
        <v/>
      </c>
      <c r="F358" s="38">
        <f>IF(Reinvest="Sim",E358,0)</f>
        <v/>
      </c>
      <c r="G358" s="38">
        <f>(B358+F358)*Growth_m</f>
        <v/>
      </c>
      <c r="H358" s="38">
        <f>B358+F358+G358</f>
        <v/>
      </c>
      <c r="I358" s="38">
        <f>I357+(E358-F358)</f>
        <v/>
      </c>
      <c r="J358" s="38">
        <f>H358+I358</f>
        <v/>
      </c>
      <c r="K358" s="38">
        <f>(E358-F358)-D358+IF(A358=Horizon,H358,0)</f>
        <v/>
      </c>
    </row>
    <row r="359" ht="16" customHeight="1">
      <c r="A359" s="37" t="n">
        <v>354</v>
      </c>
      <c r="B359" s="38">
        <f>C359+D359</f>
        <v/>
      </c>
      <c r="C359" s="38">
        <f>H358</f>
        <v/>
      </c>
      <c r="D359" s="38">
        <f>Monthly</f>
        <v/>
      </c>
      <c r="E359" s="38">
        <f>B359*Yield_m</f>
        <v/>
      </c>
      <c r="F359" s="38">
        <f>IF(Reinvest="Sim",E359,0)</f>
        <v/>
      </c>
      <c r="G359" s="38">
        <f>(B359+F359)*Growth_m</f>
        <v/>
      </c>
      <c r="H359" s="38">
        <f>B359+F359+G359</f>
        <v/>
      </c>
      <c r="I359" s="38">
        <f>I358+(E359-F359)</f>
        <v/>
      </c>
      <c r="J359" s="38">
        <f>H359+I359</f>
        <v/>
      </c>
      <c r="K359" s="38">
        <f>(E359-F359)-D359+IF(A359=Horizon,H359,0)</f>
        <v/>
      </c>
    </row>
    <row r="360" ht="16" customHeight="1">
      <c r="A360" s="37" t="n">
        <v>355</v>
      </c>
      <c r="B360" s="38">
        <f>C360+D360</f>
        <v/>
      </c>
      <c r="C360" s="38">
        <f>H359</f>
        <v/>
      </c>
      <c r="D360" s="38">
        <f>Monthly</f>
        <v/>
      </c>
      <c r="E360" s="38">
        <f>B360*Yield_m</f>
        <v/>
      </c>
      <c r="F360" s="38">
        <f>IF(Reinvest="Sim",E360,0)</f>
        <v/>
      </c>
      <c r="G360" s="38">
        <f>(B360+F360)*Growth_m</f>
        <v/>
      </c>
      <c r="H360" s="38">
        <f>B360+F360+G360</f>
        <v/>
      </c>
      <c r="I360" s="38">
        <f>I359+(E360-F360)</f>
        <v/>
      </c>
      <c r="J360" s="38">
        <f>H360+I360</f>
        <v/>
      </c>
      <c r="K360" s="38">
        <f>(E360-F360)-D360+IF(A360=Horizon,H360,0)</f>
        <v/>
      </c>
    </row>
    <row r="361" ht="16" customHeight="1">
      <c r="A361" s="37" t="n">
        <v>356</v>
      </c>
      <c r="B361" s="38">
        <f>C361+D361</f>
        <v/>
      </c>
      <c r="C361" s="38">
        <f>H360</f>
        <v/>
      </c>
      <c r="D361" s="38">
        <f>Monthly</f>
        <v/>
      </c>
      <c r="E361" s="38">
        <f>B361*Yield_m</f>
        <v/>
      </c>
      <c r="F361" s="38">
        <f>IF(Reinvest="Sim",E361,0)</f>
        <v/>
      </c>
      <c r="G361" s="38">
        <f>(B361+F361)*Growth_m</f>
        <v/>
      </c>
      <c r="H361" s="38">
        <f>B361+F361+G361</f>
        <v/>
      </c>
      <c r="I361" s="38">
        <f>I360+(E361-F361)</f>
        <v/>
      </c>
      <c r="J361" s="38">
        <f>H361+I361</f>
        <v/>
      </c>
      <c r="K361" s="38">
        <f>(E361-F361)-D361+IF(A361=Horizon,H361,0)</f>
        <v/>
      </c>
    </row>
    <row r="362" ht="16" customHeight="1">
      <c r="A362" s="37" t="n">
        <v>357</v>
      </c>
      <c r="B362" s="38">
        <f>C362+D362</f>
        <v/>
      </c>
      <c r="C362" s="38">
        <f>H361</f>
        <v/>
      </c>
      <c r="D362" s="38">
        <f>Monthly</f>
        <v/>
      </c>
      <c r="E362" s="38">
        <f>B362*Yield_m</f>
        <v/>
      </c>
      <c r="F362" s="38">
        <f>IF(Reinvest="Sim",E362,0)</f>
        <v/>
      </c>
      <c r="G362" s="38">
        <f>(B362+F362)*Growth_m</f>
        <v/>
      </c>
      <c r="H362" s="38">
        <f>B362+F362+G362</f>
        <v/>
      </c>
      <c r="I362" s="38">
        <f>I361+(E362-F362)</f>
        <v/>
      </c>
      <c r="J362" s="38">
        <f>H362+I362</f>
        <v/>
      </c>
      <c r="K362" s="38">
        <f>(E362-F362)-D362+IF(A362=Horizon,H362,0)</f>
        <v/>
      </c>
    </row>
    <row r="363" ht="16" customHeight="1">
      <c r="A363" s="37" t="n">
        <v>358</v>
      </c>
      <c r="B363" s="38">
        <f>C363+D363</f>
        <v/>
      </c>
      <c r="C363" s="38">
        <f>H362</f>
        <v/>
      </c>
      <c r="D363" s="38">
        <f>Monthly</f>
        <v/>
      </c>
      <c r="E363" s="38">
        <f>B363*Yield_m</f>
        <v/>
      </c>
      <c r="F363" s="38">
        <f>IF(Reinvest="Sim",E363,0)</f>
        <v/>
      </c>
      <c r="G363" s="38">
        <f>(B363+F363)*Growth_m</f>
        <v/>
      </c>
      <c r="H363" s="38">
        <f>B363+F363+G363</f>
        <v/>
      </c>
      <c r="I363" s="38">
        <f>I362+(E363-F363)</f>
        <v/>
      </c>
      <c r="J363" s="38">
        <f>H363+I363</f>
        <v/>
      </c>
      <c r="K363" s="38">
        <f>(E363-F363)-D363+IF(A363=Horizon,H363,0)</f>
        <v/>
      </c>
    </row>
    <row r="364" ht="16" customHeight="1">
      <c r="A364" s="37" t="n">
        <v>359</v>
      </c>
      <c r="B364" s="38">
        <f>C364+D364</f>
        <v/>
      </c>
      <c r="C364" s="38">
        <f>H363</f>
        <v/>
      </c>
      <c r="D364" s="38">
        <f>Monthly</f>
        <v/>
      </c>
      <c r="E364" s="38">
        <f>B364*Yield_m</f>
        <v/>
      </c>
      <c r="F364" s="38">
        <f>IF(Reinvest="Sim",E364,0)</f>
        <v/>
      </c>
      <c r="G364" s="38">
        <f>(B364+F364)*Growth_m</f>
        <v/>
      </c>
      <c r="H364" s="38">
        <f>B364+F364+G364</f>
        <v/>
      </c>
      <c r="I364" s="38">
        <f>I363+(E364-F364)</f>
        <v/>
      </c>
      <c r="J364" s="38">
        <f>H364+I364</f>
        <v/>
      </c>
      <c r="K364" s="38">
        <f>(E364-F364)-D364+IF(A364=Horizon,H364,0)</f>
        <v/>
      </c>
    </row>
    <row r="365" ht="16" customHeight="1">
      <c r="A365" s="37" t="n">
        <v>360</v>
      </c>
      <c r="B365" s="38">
        <f>C365+D365</f>
        <v/>
      </c>
      <c r="C365" s="38">
        <f>H364</f>
        <v/>
      </c>
      <c r="D365" s="38">
        <f>Monthly</f>
        <v/>
      </c>
      <c r="E365" s="38">
        <f>B365*Yield_m</f>
        <v/>
      </c>
      <c r="F365" s="38">
        <f>IF(Reinvest="Sim",E365,0)</f>
        <v/>
      </c>
      <c r="G365" s="38">
        <f>(B365+F365)*Growth_m</f>
        <v/>
      </c>
      <c r="H365" s="38">
        <f>B365+F365+G365</f>
        <v/>
      </c>
      <c r="I365" s="38">
        <f>I364+(E365-F365)</f>
        <v/>
      </c>
      <c r="J365" s="38">
        <f>H365+I365</f>
        <v/>
      </c>
      <c r="K365" s="38">
        <f>(E365-F365)-D365+IF(A365=Horizon,H365,0)</f>
        <v/>
      </c>
    </row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</sheetData>
  <mergeCells count="1">
    <mergeCell ref="A1:K1"/>
  </mergeCells>
  <conditionalFormatting sqref="A5:K365">
    <cfRule type="expression" priority="1" dxfId="1">
      <formula>$A5&gt;Horizon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52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26" customWidth="1" min="2" max="2"/>
    <col width="18" customWidth="1" min="3" max="3"/>
    <col width="2.5" customWidth="1" min="4" max="4"/>
    <col width="2.2" customWidth="1" min="5" max="5"/>
    <col width="26" customWidth="1" min="6" max="6"/>
    <col width="18" customWidth="1" min="7" max="7"/>
    <col width="2.5" customWidth="1" min="8" max="8"/>
    <col width="2.2" customWidth="1" min="9" max="9"/>
    <col width="26" customWidth="1" min="10" max="10"/>
    <col width="18" customWidth="1" min="11" max="11"/>
  </cols>
  <sheetData>
    <row r="1" ht="18" customHeight="1"/>
    <row r="2" ht="18" customHeight="1">
      <c r="B2" s="1" t="inlineStr">
        <is>
          <t>DASHBOARD EXECUTIVO</t>
        </is>
      </c>
    </row>
    <row r="3" ht="18" customHeight="1"/>
    <row r="4" ht="18" customHeight="1"/>
    <row r="5" ht="18" customHeight="1"/>
    <row r="6" ht="18" customHeight="1"/>
    <row r="7" ht="18" customHeight="1">
      <c r="B7" s="43" t="inlineStr">
        <is>
          <t>KPIs (prazo selecionado em APP)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 ht="18" customHeight="1">
      <c r="B8" s="6" t="inlineStr">
        <is>
          <t>Patrimônio Final</t>
        </is>
      </c>
      <c r="C8" s="9">
        <f>APP!K11</f>
        <v/>
      </c>
      <c r="D8" s="8" t="n"/>
      <c r="E8" s="8" t="n"/>
      <c r="F8" s="6" t="inlineStr">
        <is>
          <t>Total Investido</t>
        </is>
      </c>
      <c r="G8" s="9">
        <f>APP!K10</f>
        <v/>
      </c>
      <c r="H8" s="8" t="n"/>
      <c r="I8" s="8" t="n"/>
      <c r="J8" s="6" t="inlineStr">
        <is>
          <t>TIR anualizada</t>
        </is>
      </c>
      <c r="K8" s="44">
        <f>APP!K18</f>
        <v/>
      </c>
    </row>
    <row r="9" ht="18" customHeight="1">
      <c r="B9" s="6" t="inlineStr">
        <is>
          <t>Dividendos (último mês)</t>
        </is>
      </c>
      <c r="C9" s="9">
        <f>APP!K12</f>
        <v/>
      </c>
      <c r="D9" s="8" t="n"/>
      <c r="E9" s="8" t="n"/>
      <c r="F9" s="6" t="inlineStr">
        <is>
          <t>Riqueza Total Final</t>
        </is>
      </c>
      <c r="G9" s="9">
        <f>APP!K14</f>
        <v/>
      </c>
      <c r="H9" s="8" t="n"/>
      <c r="I9" s="8" t="n"/>
      <c r="J9" s="6" t="inlineStr">
        <is>
          <t>Patrimônio Real</t>
        </is>
      </c>
      <c r="K9" s="9">
        <f>APP!K19</f>
        <v/>
      </c>
    </row>
    <row r="10" ht="18" customHeight="1"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 ht="18" customHeight="1"/>
    <row r="12" ht="18" customHeight="1">
      <c r="B12" s="5" t="inlineStr">
        <is>
          <t>EVOLUÇÃO DO PATRIMÔNIO (BASE)</t>
        </is>
      </c>
      <c r="G12" s="5" t="inlineStr">
        <is>
          <t>EVOLUÇÃO DOS DIVIDENDOS (BASE)</t>
        </is>
      </c>
    </row>
    <row r="13" ht="18" customHeight="1"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 ht="18" customHeight="1"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 ht="18" customHeight="1"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 ht="18" customHeight="1"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 ht="18" customHeight="1"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 ht="18" customHeight="1"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 ht="18" customHeight="1"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 ht="18" customHeight="1"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 ht="18" customHeight="1"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 ht="18" customHeight="1"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 ht="18" customHeight="1"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 ht="18" customHeight="1"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 ht="18" customHeight="1"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 ht="18" customHeight="1"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 ht="18" customHeight="1"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 ht="18" customHeight="1"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 ht="18" customHeight="1"/>
    <row r="30" ht="18" customHeight="1">
      <c r="B30" s="5" t="inlineStr">
        <is>
          <t>COMPARAÇÃO DE CENÁRIOS (NO PRAZO SELECIONADO)</t>
        </is>
      </c>
    </row>
    <row r="31" ht="18" customHeight="1">
      <c r="B31" s="42" t="inlineStr">
        <is>
          <t>Cenário</t>
        </is>
      </c>
      <c r="C31" s="42" t="inlineStr">
        <is>
          <t>Taxa efetiva (mensal)</t>
        </is>
      </c>
      <c r="D31" s="8" t="n"/>
      <c r="E31" s="42" t="inlineStr">
        <is>
          <t>Patrimônio Final</t>
        </is>
      </c>
      <c r="F31" s="8" t="n"/>
      <c r="G31" s="42" t="inlineStr">
        <is>
          <t>Dividendo (último mês)</t>
        </is>
      </c>
      <c r="H31" s="8" t="n"/>
      <c r="I31" s="8" t="n"/>
      <c r="J31" s="8" t="n"/>
      <c r="K31" s="8" t="n"/>
    </row>
    <row r="32" ht="18" customHeight="1">
      <c r="B32" s="45" t="inlineStr">
        <is>
          <t>Conservador</t>
        </is>
      </c>
      <c r="C32" s="50">
        <f>IF(Reinvest="Sim", (1+(Growth_m-DeltaGrowth))*(1+(MAX(0,Yield_m-DeltaYield)))-1, (Growth_m-DeltaGrowth))</f>
        <v/>
      </c>
      <c r="D32" s="8" t="n"/>
      <c r="E32" s="46">
        <f>FV(C32, Horizon, -Monthly, -Initial, 0)</f>
        <v/>
      </c>
      <c r="F32" s="8" t="n"/>
      <c r="G32" s="46">
        <f>E32*(MAX(0,Yield_m-DeltaYield))</f>
        <v/>
      </c>
      <c r="H32" s="8" t="n"/>
      <c r="I32" s="8" t="n"/>
      <c r="J32" s="8" t="n"/>
      <c r="K32" s="8" t="n"/>
    </row>
    <row r="33" ht="18" customHeight="1">
      <c r="B33" s="45" t="inlineStr">
        <is>
          <t>Base</t>
        </is>
      </c>
      <c r="C33" s="50">
        <f>IF(Reinvest="Sim", (1+(Growth_m))*(1+(Yield_m))-1, (Growth_m))</f>
        <v/>
      </c>
      <c r="D33" s="8" t="n"/>
      <c r="E33" s="46">
        <f>FV(C33, Horizon, -Monthly, -Initial, 0)</f>
        <v/>
      </c>
      <c r="F33" s="8" t="n"/>
      <c r="G33" s="46">
        <f>E33*(Yield_m)</f>
        <v/>
      </c>
      <c r="H33" s="8" t="n"/>
      <c r="I33" s="8" t="n"/>
      <c r="J33" s="8" t="n"/>
      <c r="K33" s="8" t="n"/>
    </row>
    <row r="34" ht="18" customHeight="1">
      <c r="B34" s="45" t="inlineStr">
        <is>
          <t>Agressivo</t>
        </is>
      </c>
      <c r="C34" s="50">
        <f>IF(Reinvest="Sim", (1+(Growth_m+DeltaGrowth))*(1+(Yield_m+DeltaYield))-1, (Growth_m+DeltaGrowth))</f>
        <v/>
      </c>
      <c r="D34" s="8" t="n"/>
      <c r="E34" s="46">
        <f>FV(C34, Horizon, -Monthly, -Initial, 0)</f>
        <v/>
      </c>
      <c r="F34" s="8" t="n"/>
      <c r="G34" s="46">
        <f>E34*(Yield_m+DeltaYield)</f>
        <v/>
      </c>
      <c r="H34" s="8" t="n"/>
      <c r="I34" s="8" t="n"/>
      <c r="J34" s="8" t="n"/>
      <c r="K34" s="8" t="n"/>
    </row>
    <row r="35" ht="18" customHeight="1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 ht="18" customHeight="1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 ht="18" customHeight="1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 ht="18" customHeight="1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 ht="18" customHeight="1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 ht="18" customHeight="1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 ht="18" customHeight="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 ht="18" customHeight="1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 ht="18" customHeight="1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 ht="18" customHeight="1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 ht="18" customHeight="1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 ht="18" customHeight="1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 ht="18" customHeight="1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</row>
    <row r="48" ht="18" customHeight="1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 ht="18" customHeight="1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</row>
    <row r="50" ht="18" customHeight="1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 ht="18" customHeight="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</row>
    <row r="52" ht="18" customHeight="1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 ht="18" customHeight="1"/>
    <row r="54" ht="18" customHeight="1"/>
  </sheetData>
  <mergeCells count="4">
    <mergeCell ref="G12:K12"/>
    <mergeCell ref="B12:F12"/>
    <mergeCell ref="B30:K30"/>
    <mergeCell ref="B2:K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2026-02-15T19:11:16Z</dcterms:created>
  <dcterms:modified xmlns:dcterms="http://purl.org/dc/terms/" xmlns:xsi="http://www.w3.org/2001/XMLSchema-instance" xsi:type="dcterms:W3CDTF">2026-02-15T19:22:06Z</dcterms:modified>
</cp:coreProperties>
</file>